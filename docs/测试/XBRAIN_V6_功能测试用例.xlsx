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17.xml.rels" ContentType="application/vnd.openxmlformats-package.relationships+xml"/>
  <Override PartName="/xl/worksheets/_rels/sheet15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4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4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drawings/drawing12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2"/>
    <sheet name="汇总" sheetId="2" state="visible" r:id="rId3"/>
    <sheet name="F1 导航与运动" sheetId="3" state="visible" r:id="rId4"/>
    <sheet name="F2 语音交互" sheetId="4" state="visible" r:id="rId5"/>
    <sheet name="F3 载荷控制" sheetId="5" state="visible" r:id="rId6"/>
    <sheet name="F4 环境感知" sheetId="6" state="visible" r:id="rId7"/>
    <sheet name="F5 任务系统" sheetId="7" state="visible" r:id="rId8"/>
    <sheet name="F6 事件系统" sheetId="8" state="visible" r:id="rId9"/>
    <sheet name="F7 通信" sheetId="9" state="visible" r:id="rId10"/>
    <sheet name="F8 人机界面" sheetId="10" state="visible" r:id="rId11"/>
    <sheet name="F9 AI与Agent" sheetId="11" state="visible" r:id="rId12"/>
    <sheet name="F10 多机" sheetId="12" state="visible" r:id="rId13"/>
    <sheet name="F11 充电与续航" sheetId="13" state="visible" r:id="rId14"/>
    <sheet name="F12 开机自检与健康度" sheetId="14" state="visible" r:id="rId15"/>
    <sheet name="F13 工程支撑" sheetId="15" state="visible" r:id="rId16"/>
    <sheet name="F14 语音文本指令集" sheetId="16" state="visible" r:id="rId17"/>
    <sheet name="附-NFR 非功能" sheetId="17" state="visible" r:id="rId18"/>
  </sheets>
  <definedNames>
    <definedName function="false" hidden="true" localSheetId="2" name="_xlnm._FilterDatabase" vbProcedure="false">'F1 导航与运动'!$A$1:$K$106</definedName>
    <definedName function="false" hidden="true" localSheetId="11" name="_xlnm._FilterDatabase" vbProcedure="false">'F10 多机'!$A$1:$K$6</definedName>
    <definedName function="false" hidden="true" localSheetId="12" name="_xlnm._FilterDatabase" vbProcedure="false">'F11 充电与续航'!$A$1:$K$27</definedName>
    <definedName function="false" hidden="true" localSheetId="13" name="_xlnm._FilterDatabase" vbProcedure="false">'F12 开机自检与健康度'!$A$1:$K$19</definedName>
    <definedName function="false" hidden="true" localSheetId="14" name="_xlnm._FilterDatabase" vbProcedure="false">'F13 工程支撑'!$A$1:$K$24</definedName>
    <definedName function="false" hidden="true" localSheetId="15" name="_xlnm._FilterDatabase" vbProcedure="false">'F14 语音文本指令集'!$A$1:$K$44</definedName>
    <definedName function="false" hidden="true" localSheetId="3" name="_xlnm._FilterDatabase" vbProcedure="false">'F2 语音交互'!$A$1:$K$39</definedName>
    <definedName function="false" hidden="true" localSheetId="4" name="_xlnm._FilterDatabase" vbProcedure="false">'F3 载荷控制'!$A$1:$K$39</definedName>
    <definedName function="false" hidden="true" localSheetId="5" name="_xlnm._FilterDatabase" vbProcedure="false">'F4 环境感知'!$A$1:$K$32</definedName>
    <definedName function="false" hidden="true" localSheetId="6" name="_xlnm._FilterDatabase" vbProcedure="false">'F5 任务系统'!$A$1:$K$19</definedName>
    <definedName function="false" hidden="true" localSheetId="7" name="_xlnm._FilterDatabase" vbProcedure="false">'F6 事件系统'!$A$1:$K$11</definedName>
    <definedName function="false" hidden="true" localSheetId="8" name="_xlnm._FilterDatabase" vbProcedure="false">'F7 通信'!$A$1:$K$29</definedName>
    <definedName function="false" hidden="true" localSheetId="9" name="_xlnm._FilterDatabase" vbProcedure="false">'F8 人机界面'!$A$1:$K$14</definedName>
    <definedName function="false" hidden="true" localSheetId="10" name="_xlnm._FilterDatabase" vbProcedure="false">'F9 AI与Agent'!$A$1:$K$43</definedName>
    <definedName function="false" hidden="true" localSheetId="16" name="_xlnm._FilterDatabase" vbProcedure="false">'附-NFR 非功能'!$A$1:$K$23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<sst xmlns="http://schemas.openxmlformats.org/spreadsheetml/2006/main" count="3016" uniqueCount="1539">
  <si>
    <r>
      <rPr>
        <b val="true"/>
        <sz val="14"/>
        <rFont val="Arial"/>
        <family val="0"/>
        <charset val="1"/>
      </rPr>
      <t xml:space="preserve">XBRAIN_V6 </t>
    </r>
    <r>
      <rPr>
        <b val="true"/>
        <sz val="14"/>
        <rFont val="Noto Sans CJK SC"/>
        <family val="2"/>
      </rPr>
      <t xml:space="preserve">功能测试用例（收敛用）</t>
    </r>
  </si>
  <si>
    <t xml:space="preserve">用途</t>
  </si>
  <si>
    <r>
      <rPr>
        <sz val="10"/>
        <rFont val="Noto Sans CJK SC"/>
        <family val="2"/>
      </rPr>
      <t xml:space="preserve">按 </t>
    </r>
    <r>
      <rPr>
        <sz val="10"/>
        <rFont val="Arial"/>
        <family val="0"/>
        <charset val="1"/>
      </rPr>
      <t xml:space="preserve">00 </t>
    </r>
    <r>
      <rPr>
        <sz val="10"/>
        <rFont val="Noto Sans CJK SC"/>
        <family val="2"/>
      </rPr>
      <t xml:space="preserve">应用需求文档逐条列出测试项，按 </t>
    </r>
    <r>
      <rPr>
        <sz val="10"/>
        <rFont val="Arial"/>
        <family val="0"/>
        <charset val="1"/>
      </rPr>
      <t xml:space="preserve">F1-F14 </t>
    </r>
    <r>
      <rPr>
        <sz val="10"/>
        <rFont val="Noto Sans CJK SC"/>
        <family val="2"/>
      </rPr>
      <t xml:space="preserve">功能类分 </t>
    </r>
    <r>
      <rPr>
        <sz val="10"/>
        <rFont val="Arial"/>
        <family val="0"/>
        <charset val="1"/>
      </rPr>
      <t xml:space="preserve">sheet</t>
    </r>
    <r>
      <rPr>
        <sz val="10"/>
        <rFont val="Noto Sans CJK SC"/>
        <family val="2"/>
      </rPr>
      <t xml:space="preserve">，测试人按行填写结果，汇总页自动统计收敛进度。</t>
    </r>
  </si>
  <si>
    <t xml:space="preserve">测试项来源</t>
  </si>
  <si>
    <r>
      <rPr>
        <sz val="10"/>
        <rFont val="Arial"/>
        <family val="0"/>
        <charset val="1"/>
      </rPr>
      <t xml:space="preserve">docs/00-</t>
    </r>
    <r>
      <rPr>
        <sz val="10"/>
        <rFont val="Noto Sans CJK SC"/>
        <family val="2"/>
      </rPr>
      <t xml:space="preserve">应用需求文档</t>
    </r>
    <r>
      <rPr>
        <sz val="10"/>
        <rFont val="Arial"/>
        <family val="0"/>
        <charset val="1"/>
      </rPr>
      <t xml:space="preserve">.md §3-§17 </t>
    </r>
    <r>
      <rPr>
        <sz val="10"/>
        <rFont val="Noto Sans CJK SC"/>
        <family val="2"/>
      </rPr>
      <t xml:space="preserve">中所有带编号的需求行（同号取首次出现；已作废原文 </t>
    </r>
    <r>
      <rPr>
        <sz val="10"/>
        <rFont val="Arial"/>
        <family val="0"/>
        <charset val="1"/>
      </rPr>
      <t xml:space="preserve">-X </t>
    </r>
    <r>
      <rPr>
        <sz val="10"/>
        <rFont val="Noto Sans CJK SC"/>
        <family val="2"/>
      </rPr>
      <t xml:space="preserve">行与整条作废行不列）。功能类与需求前缀对应：</t>
    </r>
    <r>
      <rPr>
        <sz val="10"/>
        <rFont val="Arial"/>
        <family val="0"/>
        <charset val="1"/>
      </rPr>
      <t xml:space="preserve">F1=NAV F2=VOI F3=PAY F4=PER F5=TSK F6=EVT F7=COM F8=HMI F9=AI F10=FLT F11=CHG F12=BIT F13=CAL+CFG F14=CMD</t>
    </r>
    <r>
      <rPr>
        <sz val="10"/>
        <rFont val="Noto Sans CJK SC"/>
        <family val="2"/>
      </rPr>
      <t xml:space="preserve">；非功能 </t>
    </r>
    <r>
      <rPr>
        <sz val="10"/>
        <rFont val="Arial"/>
        <family val="0"/>
        <charset val="1"/>
      </rPr>
      <t xml:space="preserve">NFR </t>
    </r>
    <r>
      <rPr>
        <sz val="10"/>
        <rFont val="Noto Sans CJK SC"/>
        <family val="2"/>
      </rPr>
      <t xml:space="preserve">放附表。</t>
    </r>
    <r>
      <rPr>
        <sz val="10"/>
        <rFont val="Arial"/>
        <family val="0"/>
        <charset val="1"/>
      </rPr>
      <t xml:space="preserve">RT/CON/GL </t>
    </r>
    <r>
      <rPr>
        <sz val="10"/>
        <rFont val="Noto Sans CJK SC"/>
        <family val="2"/>
      </rPr>
      <t xml:space="preserve">为架构约束，不作测试项。</t>
    </r>
  </si>
  <si>
    <t xml:space="preserve">生成时间</t>
  </si>
  <si>
    <r>
      <rPr>
        <sz val="10"/>
        <rFont val="Arial"/>
        <family val="0"/>
        <charset val="1"/>
      </rPr>
      <t xml:space="preserve">2026-10-29</t>
    </r>
    <r>
      <rPr>
        <sz val="10"/>
        <rFont val="Noto Sans CJK SC"/>
        <family val="2"/>
      </rPr>
      <t xml:space="preserve">（依据机器人仓库当时的 </t>
    </r>
    <r>
      <rPr>
        <sz val="10"/>
        <rFont val="Arial"/>
        <family val="0"/>
        <charset val="1"/>
      </rPr>
      <t xml:space="preserve">00 </t>
    </r>
    <r>
      <rPr>
        <sz val="10"/>
        <rFont val="Noto Sans CJK SC"/>
        <family val="2"/>
      </rPr>
      <t xml:space="preserve">册；</t>
    </r>
    <r>
      <rPr>
        <sz val="10"/>
        <rFont val="Arial"/>
        <family val="0"/>
        <charset val="1"/>
      </rPr>
      <t xml:space="preserve">00 </t>
    </r>
    <r>
      <rPr>
        <sz val="10"/>
        <rFont val="Noto Sans CJK SC"/>
        <family val="2"/>
      </rPr>
      <t xml:space="preserve">改动后需重新生成或手工增删行）</t>
    </r>
  </si>
  <si>
    <t xml:space="preserve">需要填写的列（黄色）</t>
  </si>
  <si>
    <r>
      <rPr>
        <sz val="10"/>
        <rFont val="Noto Sans CJK SC"/>
        <family val="2"/>
      </rPr>
      <t xml:space="preserve">测试结果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备注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测试人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测试时间。其余列为生成内容，可按实际细化「测试方法」。</t>
    </r>
  </si>
  <si>
    <t xml:space="preserve">测试结果取值</t>
  </si>
  <si>
    <r>
      <rPr>
        <sz val="10"/>
        <rFont val="Noto Sans CJK SC"/>
        <family val="2"/>
      </rPr>
      <t xml:space="preserve">通过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失败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阻塞（前置条件不具备，如未接线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缺硬件）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不适用（需求已作废或本期不做）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留空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未测</t>
    </r>
  </si>
  <si>
    <t xml:space="preserve">备注写什么</t>
  </si>
  <si>
    <r>
      <rPr>
        <sz val="10"/>
        <rFont val="Noto Sans CJK SC"/>
        <family val="2"/>
      </rPr>
      <t xml:space="preserve">测试过程（如何触发、观察到什么、关键日志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回执）；失败或阻塞时写原因与复现步骤；关联提交号或缺陷卡片。</t>
    </r>
  </si>
  <si>
    <r>
      <rPr>
        <b val="true"/>
        <sz val="10"/>
        <rFont val="Noto Sans CJK SC"/>
        <family val="2"/>
      </rPr>
      <t xml:space="preserve">现状评估（</t>
    </r>
    <r>
      <rPr>
        <b val="true"/>
        <sz val="10"/>
        <rFont val="Arial"/>
        <family val="0"/>
        <charset val="1"/>
      </rPr>
      <t xml:space="preserve">2026-10-29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</si>
  <si>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✅ 真机实测过 </t>
    </r>
    <r>
      <rPr>
        <sz val="10"/>
        <rFont val="Arial"/>
        <family val="0"/>
        <charset val="1"/>
      </rPr>
      <t xml:space="preserve">· 🟡 </t>
    </r>
    <r>
      <rPr>
        <sz val="10"/>
        <rFont val="Noto Sans CJK SC"/>
        <family val="2"/>
      </rPr>
      <t xml:space="preserve">已实现，仅单测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仿真或真机未验 </t>
    </r>
    <r>
      <rPr>
        <sz val="10"/>
        <rFont val="Arial"/>
        <family val="0"/>
        <charset val="1"/>
      </rPr>
      <t xml:space="preserve">· ❌ </t>
    </r>
    <r>
      <rPr>
        <sz val="10"/>
        <rFont val="Noto Sans CJK SC"/>
        <family val="2"/>
      </rPr>
      <t xml:space="preserve">设计了未实现或未接线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未核：本次评估没找到证据。这是开发侧在 </t>
    </r>
    <r>
      <rPr>
        <sz val="10"/>
        <rFont val="Arial"/>
        <family val="0"/>
        <charset val="1"/>
      </rPr>
      <t xml:space="preserve">2026-10-29 </t>
    </r>
    <r>
      <rPr>
        <sz val="10"/>
        <rFont val="Noto Sans CJK SC"/>
        <family val="2"/>
      </rPr>
      <t xml:space="preserve">的评估，供排期参考，不等于测试结论。</t>
    </r>
  </si>
  <si>
    <t xml:space="preserve">测试方法说明</t>
  </si>
  <si>
    <t xml:space="preserve">每类给出默认方法（初稿），部分行写了具体方法；执行前按需求描述中的量化指标细化判据。</t>
  </si>
  <si>
    <t xml:space="preserve">预填结果</t>
  </si>
  <si>
    <r>
      <rPr>
        <sz val="10"/>
        <rFont val="Noto Sans CJK SC"/>
        <family val="2"/>
      </rPr>
      <t xml:space="preserve">标了结果的几行是 </t>
    </r>
    <r>
      <rPr>
        <sz val="10"/>
        <rFont val="Arial"/>
        <family val="0"/>
        <charset val="1"/>
      </rPr>
      <t xml:space="preserve">2026-10-28/29 </t>
    </r>
    <r>
      <rPr>
        <sz val="10"/>
        <rFont val="Noto Sans CJK SC"/>
        <family val="2"/>
      </rPr>
      <t xml:space="preserve">本会话在机器人上实测通过的项（测试人：</t>
    </r>
    <r>
      <rPr>
        <sz val="10"/>
        <rFont val="Arial"/>
        <family val="0"/>
        <charset val="1"/>
      </rPr>
      <t xml:space="preserve">Claude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现场工程师），可复核后保留或改写。</t>
    </r>
  </si>
  <si>
    <t xml:space="preserve">示例行（格式参考）</t>
  </si>
  <si>
    <t xml:space="preserve">测试类</t>
  </si>
  <si>
    <t xml:space="preserve">需求编号</t>
  </si>
  <si>
    <t xml:space="preserve">测试功能</t>
  </si>
  <si>
    <t xml:space="preserve">测试方法</t>
  </si>
  <si>
    <t xml:space="preserve">测试结果</t>
  </si>
  <si>
    <t xml:space="preserve">备注</t>
  </si>
  <si>
    <t xml:space="preserve">测试人</t>
  </si>
  <si>
    <t xml:space="preserve">测试时间</t>
  </si>
  <si>
    <r>
      <rPr>
        <sz val="10"/>
        <rFont val="Arial"/>
        <family val="0"/>
        <charset val="1"/>
      </rPr>
      <t xml:space="preserve">F2 </t>
    </r>
    <r>
      <rPr>
        <sz val="10"/>
        <rFont val="Noto Sans CJK SC"/>
        <family val="2"/>
      </rPr>
      <t xml:space="preserve">语音交互 </t>
    </r>
    <r>
      <rPr>
        <sz val="10"/>
        <rFont val="Arial"/>
        <family val="0"/>
        <charset val="1"/>
      </rPr>
      <t xml:space="preserve">/ 4.7 D </t>
    </r>
    <r>
      <rPr>
        <sz val="10"/>
        <rFont val="Noto Sans CJK SC"/>
        <family val="2"/>
      </rPr>
      <t xml:space="preserve">模式</t>
    </r>
  </si>
  <si>
    <t xml:space="preserve">VOI-60</t>
  </si>
  <si>
    <t xml:space="preserve">喇叭为独占资源，统一仲裁</t>
  </si>
  <si>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期间发一条 </t>
    </r>
    <r>
      <rPr>
        <sz val="10"/>
        <rFont val="Arial"/>
        <family val="0"/>
        <charset val="1"/>
      </rPr>
      <t xml:space="preserve">tts_local</t>
    </r>
    <r>
      <rPr>
        <sz val="10"/>
        <rFont val="Noto Sans CJK SC"/>
        <family val="2"/>
      </rPr>
      <t xml:space="preserve">，观察是否插播</t>
    </r>
  </si>
  <si>
    <t xml:space="preserve">通过</t>
  </si>
  <si>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期间发 </t>
    </r>
    <r>
      <rPr>
        <sz val="10"/>
        <rFont val="Arial"/>
        <family val="0"/>
        <charset val="1"/>
      </rPr>
      <t xml:space="preserve">tts_local</t>
    </r>
    <r>
      <rPr>
        <sz val="10"/>
        <rFont val="Noto Sans CJK SC"/>
        <family val="2"/>
      </rPr>
      <t xml:space="preserve">，回执 </t>
    </r>
    <r>
      <rPr>
        <sz val="10"/>
        <rFont val="Arial"/>
        <family val="0"/>
        <charset val="1"/>
      </rPr>
      <t xml:space="preserve">E_BUSY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speaker held by alarm_d</t>
    </r>
    <r>
      <rPr>
        <sz val="10"/>
        <rFont val="Noto Sans CJK SC"/>
        <family val="2"/>
      </rPr>
      <t xml:space="preserve">），现场无插播</t>
    </r>
  </si>
  <si>
    <t xml:space="preserve">张三</t>
  </si>
  <si>
    <t xml:space="preserve">2026-10-29 16:00</t>
  </si>
  <si>
    <t xml:space="preserve">功能类</t>
  </si>
  <si>
    <t xml:space="preserve">测试项数</t>
  </si>
  <si>
    <t xml:space="preserve">失败</t>
  </si>
  <si>
    <t xml:space="preserve">阻塞</t>
  </si>
  <si>
    <t xml:space="preserve">不适用</t>
  </si>
  <si>
    <t xml:space="preserve">未测</t>
  </si>
  <si>
    <t xml:space="preserve">已测完成率</t>
  </si>
  <si>
    <t xml:space="preserve">通过率</t>
  </si>
  <si>
    <r>
      <rPr>
        <sz val="10"/>
        <rFont val="Arial"/>
        <family val="0"/>
        <charset val="1"/>
      </rPr>
      <t xml:space="preserve">F1 </t>
    </r>
    <r>
      <rPr>
        <sz val="10"/>
        <rFont val="Noto Sans CJK SC"/>
        <family val="2"/>
      </rPr>
      <t xml:space="preserve">导航与运动</t>
    </r>
  </si>
  <si>
    <r>
      <rPr>
        <sz val="10"/>
        <rFont val="Arial"/>
        <family val="0"/>
        <charset val="1"/>
      </rPr>
      <t xml:space="preserve">F2 </t>
    </r>
    <r>
      <rPr>
        <sz val="10"/>
        <rFont val="Noto Sans CJK SC"/>
        <family val="2"/>
      </rPr>
      <t xml:space="preserve">语音交互</t>
    </r>
  </si>
  <si>
    <r>
      <rPr>
        <sz val="10"/>
        <rFont val="Arial"/>
        <family val="0"/>
        <charset val="1"/>
      </rPr>
      <t xml:space="preserve">F3 </t>
    </r>
    <r>
      <rPr>
        <sz val="10"/>
        <rFont val="Noto Sans CJK SC"/>
        <family val="2"/>
      </rPr>
      <t xml:space="preserve">载荷控制</t>
    </r>
  </si>
  <si>
    <r>
      <rPr>
        <sz val="10"/>
        <rFont val="Arial"/>
        <family val="0"/>
        <charset val="1"/>
      </rPr>
      <t xml:space="preserve">F4 </t>
    </r>
    <r>
      <rPr>
        <sz val="10"/>
        <rFont val="Noto Sans CJK SC"/>
        <family val="2"/>
      </rPr>
      <t xml:space="preserve">环境感知</t>
    </r>
  </si>
  <si>
    <r>
      <rPr>
        <sz val="10"/>
        <rFont val="Arial"/>
        <family val="0"/>
        <charset val="1"/>
      </rPr>
      <t xml:space="preserve">F5 </t>
    </r>
    <r>
      <rPr>
        <sz val="10"/>
        <rFont val="Noto Sans CJK SC"/>
        <family val="2"/>
      </rPr>
      <t xml:space="preserve">任务系统</t>
    </r>
  </si>
  <si>
    <r>
      <rPr>
        <sz val="10"/>
        <rFont val="Arial"/>
        <family val="0"/>
        <charset val="1"/>
      </rPr>
      <t xml:space="preserve">F6 </t>
    </r>
    <r>
      <rPr>
        <sz val="10"/>
        <rFont val="Noto Sans CJK SC"/>
        <family val="2"/>
      </rPr>
      <t xml:space="preserve">事件系统</t>
    </r>
  </si>
  <si>
    <r>
      <rPr>
        <sz val="10"/>
        <rFont val="Arial"/>
        <family val="0"/>
        <charset val="1"/>
      </rPr>
      <t xml:space="preserve">F7 </t>
    </r>
    <r>
      <rPr>
        <sz val="10"/>
        <rFont val="Noto Sans CJK SC"/>
        <family val="2"/>
      </rPr>
      <t xml:space="preserve">通信</t>
    </r>
  </si>
  <si>
    <r>
      <rPr>
        <sz val="10"/>
        <rFont val="Arial"/>
        <family val="0"/>
        <charset val="1"/>
      </rPr>
      <t xml:space="preserve">F8 </t>
    </r>
    <r>
      <rPr>
        <sz val="10"/>
        <rFont val="Noto Sans CJK SC"/>
        <family val="2"/>
      </rPr>
      <t xml:space="preserve">人机界面</t>
    </r>
  </si>
  <si>
    <r>
      <rPr>
        <sz val="10"/>
        <rFont val="Arial"/>
        <family val="0"/>
        <charset val="1"/>
      </rPr>
      <t xml:space="preserve">F9 AI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Agent</t>
    </r>
  </si>
  <si>
    <r>
      <rPr>
        <sz val="10"/>
        <rFont val="Arial"/>
        <family val="0"/>
        <charset val="1"/>
      </rPr>
      <t xml:space="preserve">F10 </t>
    </r>
    <r>
      <rPr>
        <sz val="10"/>
        <rFont val="Noto Sans CJK SC"/>
        <family val="2"/>
      </rPr>
      <t xml:space="preserve">多机</t>
    </r>
  </si>
  <si>
    <r>
      <rPr>
        <sz val="10"/>
        <rFont val="Arial"/>
        <family val="0"/>
        <charset val="1"/>
      </rPr>
      <t xml:space="preserve">F11 </t>
    </r>
    <r>
      <rPr>
        <sz val="10"/>
        <rFont val="Noto Sans CJK SC"/>
        <family val="2"/>
      </rPr>
      <t xml:space="preserve">充电与续航</t>
    </r>
  </si>
  <si>
    <r>
      <rPr>
        <sz val="10"/>
        <rFont val="Arial"/>
        <family val="0"/>
        <charset val="1"/>
      </rPr>
      <t xml:space="preserve">F12 </t>
    </r>
    <r>
      <rPr>
        <sz val="10"/>
        <rFont val="Noto Sans CJK SC"/>
        <family val="2"/>
      </rPr>
      <t xml:space="preserve">开机自检与健康度</t>
    </r>
  </si>
  <si>
    <r>
      <rPr>
        <sz val="10"/>
        <rFont val="Arial"/>
        <family val="0"/>
        <charset val="1"/>
      </rPr>
      <t xml:space="preserve">F13 </t>
    </r>
    <r>
      <rPr>
        <sz val="10"/>
        <rFont val="Noto Sans CJK SC"/>
        <family val="2"/>
      </rPr>
      <t xml:space="preserve">工程支撑</t>
    </r>
  </si>
  <si>
    <r>
      <rPr>
        <sz val="10"/>
        <rFont val="Arial"/>
        <family val="0"/>
        <charset val="1"/>
      </rPr>
      <t xml:space="preserve">F14 </t>
    </r>
    <r>
      <rPr>
        <sz val="10"/>
        <rFont val="Noto Sans CJK SC"/>
        <family val="2"/>
      </rPr>
      <t xml:space="preserve">语音文本指令集</t>
    </r>
  </si>
  <si>
    <r>
      <rPr>
        <sz val="10"/>
        <rFont val="Noto Sans CJK SC"/>
        <family val="2"/>
      </rPr>
      <t xml:space="preserve">附</t>
    </r>
    <r>
      <rPr>
        <sz val="10"/>
        <rFont val="Arial"/>
        <family val="0"/>
        <charset val="1"/>
      </rPr>
      <t xml:space="preserve">-NFR </t>
    </r>
    <r>
      <rPr>
        <sz val="10"/>
        <rFont val="Noto Sans CJK SC"/>
        <family val="2"/>
      </rPr>
      <t xml:space="preserve">非功能</t>
    </r>
  </si>
  <si>
    <t xml:space="preserve">合计</t>
  </si>
  <si>
    <t xml:space="preserve">口径</t>
  </si>
  <si>
    <r>
      <rPr>
        <sz val="10"/>
        <rFont val="Noto Sans CJK SC"/>
        <family val="2"/>
      </rPr>
      <t xml:space="preserve">已测完成率 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（通过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失败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阻塞）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（测试项数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不适用）；通过率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通过 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（通过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失败）。未测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测试结果留空。统计随各 </t>
    </r>
    <r>
      <rPr>
        <sz val="10"/>
        <rFont val="Arial"/>
        <family val="0"/>
        <charset val="1"/>
      </rPr>
      <t xml:space="preserve">sheet </t>
    </r>
    <r>
      <rPr>
        <sz val="10"/>
        <rFont val="Noto Sans CJK SC"/>
        <family val="2"/>
      </rPr>
      <t xml:space="preserve">的「测试结果」列自动更新。</t>
    </r>
  </si>
  <si>
    <t xml:space="preserve">序号</t>
  </si>
  <si>
    <r>
      <rPr>
        <b val="true"/>
        <sz val="10"/>
        <color rgb="FFFFFFFF"/>
        <rFont val="Noto Sans CJK SC"/>
        <family val="2"/>
      </rPr>
      <t xml:space="preserve">需求描述（摘自 </t>
    </r>
    <r>
      <rPr>
        <b val="true"/>
        <sz val="10"/>
        <color rgb="FFFFFFFF"/>
        <rFont val="Arial"/>
        <family val="0"/>
        <charset val="1"/>
      </rPr>
      <t xml:space="preserve">00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</si>
  <si>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现状评估（</t>
    </r>
    <r>
      <rPr>
        <b val="true"/>
        <sz val="10"/>
        <color rgb="FFFFFFFF"/>
        <rFont val="Arial"/>
        <family val="0"/>
        <charset val="1"/>
      </rPr>
      <t xml:space="preserve">2026-10-29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</si>
  <si>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F1 / 3.1 </t>
    </r>
    <r>
      <rPr>
        <sz val="10"/>
        <rFont val="Noto Sans CJK SC"/>
        <family val="2"/>
      </rPr>
      <t xml:space="preserve">定位</t>
    </r>
  </si>
  <si>
    <t xml:space="preserve">NAV-01</t>
  </si>
  <si>
    <r>
      <rPr>
        <sz val="10"/>
        <rFont val="Noto Sans CJK SC"/>
        <family val="2"/>
      </rPr>
      <t xml:space="preserve">系统以 </t>
    </r>
    <r>
      <rPr>
        <sz val="10"/>
        <rFont val="Arial"/>
        <family val="0"/>
        <charset val="1"/>
      </rPr>
      <t xml:space="preserve">RTK GPS </t>
    </r>
    <r>
      <rPr>
        <sz val="10"/>
        <rFont val="Noto Sans CJK SC"/>
        <family val="2"/>
      </rPr>
      <t xml:space="preserve">作为主定位源，提供 </t>
    </r>
    <r>
      <rPr>
        <sz val="10"/>
        <rFont val="Arial"/>
        <family val="0"/>
        <charset val="1"/>
      </rPr>
      <t xml:space="preserve">20 Hz </t>
    </r>
    <r>
      <rPr>
        <sz val="10"/>
        <rFont val="Noto Sans CJK SC"/>
        <family val="2"/>
      </rPr>
      <t xml:space="preserve">的实时位置与航向数据</t>
    </r>
  </si>
  <si>
    <r>
      <rPr>
        <sz val="10"/>
        <rFont val="Noto Sans CJK SC"/>
        <family val="2"/>
      </rPr>
      <t xml:space="preserve">【仿真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真机】先在 </t>
    </r>
    <r>
      <rPr>
        <sz val="10"/>
        <rFont val="Arial"/>
        <family val="0"/>
        <charset val="1"/>
      </rPr>
      <t xml:space="preserve">SIL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scripts/sil</t>
    </r>
    <r>
      <rPr>
        <sz val="10"/>
        <rFont val="Noto Sans CJK SC"/>
        <family val="2"/>
      </rPr>
      <t xml:space="preserve">）复现场景跑台架；真机在有人值守、场地净空条件下验证，记录 </t>
    </r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日志与 </t>
    </r>
    <r>
      <rPr>
        <sz val="10"/>
        <rFont val="Arial"/>
        <family val="0"/>
        <charset val="1"/>
      </rPr>
      <t xml:space="preserve">state/arb/motion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rt/motion/cmd_vel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</si>
  <si>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🟡 rtk_driver </t>
    </r>
    <r>
      <rPr>
        <sz val="10"/>
        <rFont val="Noto Sans CJK SC"/>
        <family val="2"/>
      </rPr>
      <t xml:space="preserve">在收串口数据，但 </t>
    </r>
    <r>
      <rPr>
        <sz val="10"/>
        <rFont val="Arial"/>
        <family val="0"/>
        <charset val="1"/>
      </rPr>
      <t xml:space="preserve">state/robot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gps </t>
    </r>
    <r>
      <rPr>
        <sz val="10"/>
        <rFont val="Noto Sans CJK SC"/>
        <family val="2"/>
      </rPr>
      <t xml:space="preserve">为 </t>
    </r>
    <r>
      <rPr>
        <sz val="10"/>
        <rFont val="Arial"/>
        <family val="0"/>
        <charset val="1"/>
      </rPr>
      <t xml:space="preserve">fix:none</t>
    </r>
    <r>
      <rPr>
        <sz val="10"/>
        <rFont val="Noto Sans CJK SC"/>
        <family val="2"/>
      </rPr>
      <t xml:space="preserve">，真机未定上位</t>
    </r>
  </si>
  <si>
    <t xml:space="preserve">NAV-02</t>
  </si>
  <si>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解算质量（固定解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浮点解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单点解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失锁）必须真实反映在数据的状态位与协方差中，不得填充固定值</t>
    </r>
  </si>
  <si>
    <t xml:space="preserve">NAV-03</t>
  </si>
  <si>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降级时导航行为必须分级降级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</si>
  <si>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降级时导航行为必须分级降级：固定解→正常；浮点解→减速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加大避障裕度；单点解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失锁→停车或低速沿最后可信路径返回</t>
    </r>
  </si>
  <si>
    <t xml:space="preserve">NAV-04</t>
  </si>
  <si>
    <t xml:space="preserve">待确认</t>
  </si>
  <si>
    <r>
      <rPr>
        <sz val="10"/>
        <rFont val="Noto Sans CJK SC"/>
        <family val="2"/>
      </rPr>
      <t xml:space="preserve">待确认：</t>
    </r>
    <r>
      <rPr>
        <sz val="10"/>
        <rFont val="Arial"/>
        <family val="0"/>
        <charset val="1"/>
      </rPr>
      <t xml:space="preserve">/gnss/heading </t>
    </r>
    <r>
      <rPr>
        <sz val="10"/>
        <rFont val="Noto Sans CJK SC"/>
        <family val="2"/>
      </rPr>
      <t xml:space="preserve">是双天线直接测向还是单天线运动推算。若为后者，静止与低速时航向不可信，起步、原地转向、点位停留后重新出发均需特殊处理</t>
    </r>
  </si>
  <si>
    <t xml:space="preserve">NAV-05</t>
  </si>
  <si>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时间可作为全系统授时源，用于对齐事件时间戳、媒体文件与云端记录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</si>
  <si>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时间可作为全系统授时源，用于对齐事件时间戳、媒体文件与云端记录</t>
    </r>
  </si>
  <si>
    <t xml:space="preserve">NAV-06</t>
  </si>
  <si>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位置不确定度不可忽略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</si>
  <si>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位置不确定度不可忽略： 按 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后的 </t>
    </r>
    <r>
      <rPr>
        <sz val="10"/>
        <rFont val="Arial"/>
        <family val="0"/>
        <charset val="1"/>
      </rPr>
      <t xml:space="preserve">patrol </t>
    </r>
    <r>
      <rPr>
        <sz val="10"/>
        <rFont val="Noto Sans CJK SC"/>
        <family val="2"/>
      </rPr>
      <t xml:space="preserve">上限 </t>
    </r>
    <r>
      <rPr>
        <sz val="10"/>
        <rFont val="Arial"/>
        <family val="0"/>
        <charset val="1"/>
      </rPr>
      <t xml:space="preserve">2.0 m/s </t>
    </r>
    <r>
      <rPr>
        <sz val="10"/>
        <rFont val="Noto Sans CJK SC"/>
        <family val="2"/>
      </rPr>
      <t xml:space="preserve">重算 —— </t>
    </r>
    <r>
      <rPr>
        <sz val="10"/>
        <rFont val="Arial"/>
        <family val="0"/>
        <charset val="1"/>
      </rPr>
      <t xml:space="preserve">20 Hz </t>
    </r>
    <r>
      <rPr>
        <sz val="10"/>
        <rFont val="Noto Sans CJK SC"/>
        <family val="2"/>
      </rPr>
      <t xml:space="preserve">定位间隔为 </t>
    </r>
    <r>
      <rPr>
        <sz val="10"/>
        <rFont val="Arial"/>
        <family val="0"/>
        <charset val="1"/>
      </rPr>
      <t xml:space="preserve">0.10 m</t>
    </r>
    <r>
      <rPr>
        <sz val="10"/>
        <rFont val="Noto Sans CJK SC"/>
        <family val="2"/>
      </rPr>
      <t xml:space="preserve">，叠加 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解算延迟（通常 </t>
    </r>
    <r>
      <rPr>
        <sz val="10"/>
        <rFont val="Arial"/>
        <family val="0"/>
        <charset val="1"/>
      </rPr>
      <t xml:space="preserve">10–50 ms</t>
    </r>
    <r>
      <rPr>
        <sz val="10"/>
        <rFont val="Noto Sans CJK SC"/>
        <family val="2"/>
      </rPr>
      <t xml:space="preserve">，对应 </t>
    </r>
    <r>
      <rPr>
        <sz val="10"/>
        <rFont val="Arial"/>
        <family val="0"/>
        <charset val="1"/>
      </rPr>
      <t xml:space="preserve">0.02–0.10 m</t>
    </r>
    <r>
      <rPr>
        <sz val="10"/>
        <rFont val="Noto Sans CJK SC"/>
        <family val="2"/>
      </rPr>
      <t xml:space="preserve">），位置误差在 </t>
    </r>
    <r>
      <rPr>
        <sz val="10"/>
        <rFont val="Arial"/>
        <family val="0"/>
        <charset val="1"/>
      </rPr>
      <t xml:space="preserve">0.10–0.20 m </t>
    </r>
    <r>
      <rPr>
        <sz val="10"/>
        <rFont val="Noto Sans CJK SC"/>
        <family val="2"/>
      </rPr>
      <t xml:space="preserve">量级。电子围栏边界判定必须计入该不确定度。
 已随 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作废（</t>
    </r>
    <r>
      <rPr>
        <sz val="10"/>
        <rFont val="Arial"/>
        <family val="0"/>
        <charset val="1"/>
      </rPr>
      <t xml:space="preserve">5 m/s </t>
    </r>
    <r>
      <rPr>
        <sz val="10"/>
        <rFont val="Noto Sans CJK SC"/>
        <family val="2"/>
      </rPr>
      <t xml:space="preserve">不在需求内）。 注意：量级变小不等于可以忽略 —— 围栏裁剪的裕度仍须显式带这一项，见 </t>
    </r>
    <r>
      <rPr>
        <sz val="10"/>
        <rFont val="Arial"/>
        <family val="0"/>
        <charset val="1"/>
      </rPr>
      <t xml:space="preserve">NAV-46</t>
    </r>
  </si>
  <si>
    <r>
      <rPr>
        <sz val="10"/>
        <rFont val="Arial"/>
        <family val="0"/>
        <charset val="1"/>
      </rPr>
      <t xml:space="preserve">F1 / 3.2 </t>
    </r>
    <r>
      <rPr>
        <sz val="10"/>
        <rFont val="Noto Sans CJK SC"/>
        <family val="2"/>
      </rPr>
      <t xml:space="preserve">点到点导航</t>
    </r>
  </si>
  <si>
    <t xml:space="preserve">NAV-10</t>
  </si>
  <si>
    <r>
      <rPr>
        <sz val="10"/>
        <rFont val="Noto Sans CJK SC"/>
        <family val="2"/>
      </rPr>
      <t xml:space="preserve">支持从当前位置导航至指定 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位置点</t>
    </r>
  </si>
  <si>
    <r>
      <rPr>
        <sz val="10"/>
        <rFont val="Noto Sans CJK SC"/>
        <family val="2"/>
      </rPr>
      <t xml:space="preserve">🟡 仅 </t>
    </r>
    <r>
      <rPr>
        <sz val="10"/>
        <rFont val="Arial"/>
        <family val="0"/>
        <charset val="1"/>
      </rPr>
      <t xml:space="preserve">SIL / </t>
    </r>
    <r>
      <rPr>
        <sz val="10"/>
        <rFont val="Noto Sans CJK SC"/>
        <family val="2"/>
      </rPr>
      <t xml:space="preserve">开发栈 </t>
    </r>
    <r>
      <rPr>
        <sz val="10"/>
        <rFont val="Arial"/>
        <family val="0"/>
        <charset val="1"/>
      </rPr>
      <t xml:space="preserve">E2E</t>
    </r>
    <r>
      <rPr>
        <sz val="10"/>
        <rFont val="Noto Sans CJK SC"/>
        <family val="2"/>
      </rPr>
      <t xml:space="preserve">（位姿桩）；真机未跑：</t>
    </r>
    <r>
      <rPr>
        <sz val="10"/>
        <rFont val="Arial"/>
        <family val="0"/>
        <charset val="1"/>
      </rPr>
      <t xml:space="preserve">p3 </t>
    </r>
    <r>
      <rPr>
        <sz val="10"/>
        <rFont val="Noto Sans CJK SC"/>
        <family val="2"/>
      </rPr>
      <t xml:space="preserve">任务执行器未接线</t>
    </r>
  </si>
  <si>
    <t xml:space="preserve">NAV-11</t>
  </si>
  <si>
    <r>
      <rPr>
        <sz val="10"/>
        <rFont val="Noto Sans CJK SC"/>
        <family val="2"/>
      </rPr>
      <t xml:space="preserve">位置点由 </t>
    </r>
    <r>
      <rPr>
        <sz val="10"/>
        <rFont val="Arial"/>
        <family val="0"/>
        <charset val="1"/>
      </rPr>
      <t xml:space="preserve">WGS84 </t>
    </r>
    <r>
      <rPr>
        <sz val="10"/>
        <rFont val="Noto Sans CJK SC"/>
        <family val="2"/>
      </rPr>
      <t xml:space="preserve">经纬度（及可选高程）定义</t>
    </r>
  </si>
  <si>
    <t xml:space="preserve">NAV-12</t>
  </si>
  <si>
    <t xml:space="preserve">到点判定阈值可配置 具体数值待定</t>
  </si>
  <si>
    <t xml:space="preserve">NAV-13</t>
  </si>
  <si>
    <t xml:space="preserve">导航过程中全程执行反应式避障与电子围栏约束</t>
  </si>
  <si>
    <r>
      <rPr>
        <sz val="10"/>
        <rFont val="Arial"/>
        <family val="0"/>
        <charset val="1"/>
      </rPr>
      <t xml:space="preserve">F1 / 3.3 </t>
    </r>
    <r>
      <rPr>
        <sz val="10"/>
        <rFont val="Noto Sans CJK SC"/>
        <family val="2"/>
      </rPr>
      <t xml:space="preserve">路径导航</t>
    </r>
  </si>
  <si>
    <t xml:space="preserve">NAV-20</t>
  </si>
  <si>
    <r>
      <rPr>
        <sz val="10"/>
        <rFont val="Noto Sans CJK SC"/>
        <family val="2"/>
      </rPr>
      <t xml:space="preserve">支持由多个 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位置点构成的任意长度路径的连续导航</t>
    </r>
  </si>
  <si>
    <r>
      <rPr>
        <sz val="10"/>
        <rFont val="Noto Sans CJK SC"/>
        <family val="2"/>
      </rPr>
      <t xml:space="preserve">🟡 仅 </t>
    </r>
    <r>
      <rPr>
        <sz val="10"/>
        <rFont val="Arial"/>
        <family val="0"/>
        <charset val="1"/>
      </rPr>
      <t xml:space="preserve">SIL / </t>
    </r>
    <r>
      <rPr>
        <sz val="10"/>
        <rFont val="Noto Sans CJK SC"/>
        <family val="2"/>
      </rPr>
      <t xml:space="preserve">开发栈 </t>
    </r>
    <r>
      <rPr>
        <sz val="10"/>
        <rFont val="Arial"/>
        <family val="0"/>
        <charset val="1"/>
      </rPr>
      <t xml:space="preserve">E2E</t>
    </r>
    <r>
      <rPr>
        <sz val="10"/>
        <rFont val="Noto Sans CJK SC"/>
        <family val="2"/>
      </rPr>
      <t xml:space="preserve">；真机未跑</t>
    </r>
  </si>
  <si>
    <t xml:space="preserve">NAV-21</t>
  </si>
  <si>
    <t xml:space="preserve">路径为稠密位置点序列，机器人按序通过</t>
  </si>
  <si>
    <t xml:space="preserve">NAV-22</t>
  </si>
  <si>
    <r>
      <rPr>
        <sz val="10"/>
        <rFont val="Noto Sans CJK SC"/>
        <family val="2"/>
      </rPr>
      <t xml:space="preserve">支持路径的循环巡逻（往复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闭环） 具体形式待确认</t>
    </r>
  </si>
  <si>
    <t xml:space="preserve">NAV-23</t>
  </si>
  <si>
    <r>
      <rPr>
        <sz val="10"/>
        <rFont val="Arial"/>
        <family val="0"/>
        <charset val="1"/>
      </rPr>
      <t xml:space="preserve">2026-07-28 </t>
    </r>
    <r>
      <rPr>
        <sz val="10"/>
        <rFont val="Noto Sans CJK SC"/>
        <family val="2"/>
      </rPr>
      <t xml:space="preserve">确认</t>
    </r>
  </si>
  <si>
    <r>
      <rPr>
        <sz val="10"/>
        <rFont val="Arial"/>
        <family val="0"/>
        <charset val="1"/>
      </rPr>
      <t xml:space="preserve">2026-07-28 </t>
    </r>
    <r>
      <rPr>
        <sz val="10"/>
        <rFont val="Noto Sans CJK SC"/>
        <family val="2"/>
      </rPr>
      <t xml:space="preserve">确认：路径可由云端下发，也支持现场示教录制。录制能力详见 </t>
    </r>
    <r>
      <rPr>
        <sz val="10"/>
        <rFont val="Arial"/>
        <family val="0"/>
        <charset val="1"/>
      </rPr>
      <t xml:space="preserve">§4.10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[18-</t>
    </r>
    <r>
      <rPr>
        <sz val="10"/>
        <rFont val="Noto Sans CJK SC"/>
        <family val="2"/>
      </rPr>
      <t xml:space="preserve">语音文本指令集</t>
    </r>
    <r>
      <rPr>
        <sz val="10"/>
        <rFont val="Arial"/>
        <family val="0"/>
        <charset val="1"/>
      </rPr>
      <t xml:space="preserve">](18-</t>
    </r>
    <r>
      <rPr>
        <sz val="10"/>
        <rFont val="Noto Sans CJK SC"/>
        <family val="2"/>
      </rPr>
      <t xml:space="preserve">语音文本指令集</t>
    </r>
    <r>
      <rPr>
        <sz val="10"/>
        <rFont val="Arial"/>
        <family val="0"/>
        <charset val="1"/>
      </rPr>
      <t xml:space="preserve">.md) §8</t>
    </r>
  </si>
  <si>
    <t xml:space="preserve">NAV-24</t>
  </si>
  <si>
    <t xml:space="preserve">路径与位置点数据需定义生命周期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</si>
  <si>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路径与位置点数据需定义生命周期：创建者、版本、机器人侧持久化、更新机制</t>
    </r>
  </si>
  <si>
    <r>
      <rPr>
        <sz val="10"/>
        <rFont val="Arial"/>
        <family val="0"/>
        <charset val="1"/>
      </rPr>
      <t xml:space="preserve">F1 / 3.4 </t>
    </r>
    <r>
      <rPr>
        <sz val="10"/>
        <rFont val="Noto Sans CJK SC"/>
        <family val="2"/>
      </rPr>
      <t xml:space="preserve">反应式导航（</t>
    </r>
    <r>
      <rPr>
        <sz val="10"/>
        <rFont val="Arial"/>
        <family val="0"/>
        <charset val="1"/>
      </rPr>
      <t xml:space="preserve">RNS</t>
    </r>
    <r>
      <rPr>
        <sz val="10"/>
        <rFont val="Noto Sans CJK SC"/>
        <family val="2"/>
      </rPr>
      <t xml:space="preserve">）</t>
    </r>
  </si>
  <si>
    <t xml:space="preserve">NAV-30</t>
  </si>
  <si>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为 </t>
    </r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已验证资产（</t>
    </r>
    <r>
      <rPr>
        <sz val="10"/>
        <rFont val="Arial"/>
        <family val="0"/>
        <charset val="1"/>
      </rPr>
      <t xml:space="preserve">2026-06 </t>
    </r>
    <r>
      <rPr>
        <sz val="10"/>
        <rFont val="Noto Sans CJK SC"/>
        <family val="2"/>
      </rPr>
      <t xml:space="preserve">实测通过），本版必须保持其行为与性能不退化</t>
    </r>
  </si>
  <si>
    <r>
      <rPr>
        <sz val="10"/>
        <rFont val="Arial"/>
        <family val="0"/>
        <charset val="1"/>
      </rPr>
      <t xml:space="preserve">🟡 RNS SIL </t>
    </r>
    <r>
      <rPr>
        <sz val="10"/>
        <rFont val="Noto Sans CJK SC"/>
        <family val="2"/>
      </rPr>
      <t xml:space="preserve">充分（</t>
    </r>
    <r>
      <rPr>
        <sz val="10"/>
        <rFont val="Arial"/>
        <family val="0"/>
        <charset val="1"/>
      </rPr>
      <t xml:space="preserve">v1.41</t>
    </r>
    <r>
      <rPr>
        <sz val="10"/>
        <rFont val="Noto Sans CJK SC"/>
        <family val="2"/>
      </rPr>
      <t xml:space="preserve">），开发栈 </t>
    </r>
    <r>
      <rPr>
        <sz val="10"/>
        <rFont val="Arial"/>
        <family val="0"/>
        <charset val="1"/>
      </rPr>
      <t xml:space="preserve">E2E </t>
    </r>
    <r>
      <rPr>
        <sz val="10"/>
        <rFont val="Noto Sans CJK SC"/>
        <family val="2"/>
      </rPr>
      <t xml:space="preserve">通过；真机未跑（需感知 </t>
    </r>
    <r>
      <rPr>
        <sz val="10"/>
        <rFont val="Arial"/>
        <family val="0"/>
        <charset val="1"/>
      </rPr>
      <t xml:space="preserve">+ RTK + </t>
    </r>
    <r>
      <rPr>
        <sz val="10"/>
        <rFont val="Noto Sans CJK SC"/>
        <family val="2"/>
      </rPr>
      <t xml:space="preserve">冻结线）</t>
    </r>
  </si>
  <si>
    <t xml:space="preserve">NAV-31</t>
  </si>
  <si>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订阅感知元数据（相机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激光雷达融合、</t>
    </r>
    <r>
      <rPr>
        <sz val="10"/>
        <rFont val="Arial"/>
        <family val="0"/>
        <charset val="1"/>
      </rPr>
      <t xml:space="preserve">YOLOv11n </t>
    </r>
    <r>
      <rPr>
        <sz val="10"/>
        <rFont val="Noto Sans CJK SC"/>
        <family val="2"/>
      </rPr>
      <t xml:space="preserve">推理结果）及 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数据</t>
    </r>
  </si>
  <si>
    <t xml:space="preserve">NAV-31b</t>
  </si>
  <si>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还需订阅底盘前后雷达点云用于障碍物判断 —— 点云因此进入 </t>
    </r>
    <r>
      <rPr>
        <sz val="10"/>
        <rFont val="Arial"/>
        <family val="0"/>
        <charset val="1"/>
      </rPr>
      <t xml:space="preserve">20 Hz </t>
    </r>
    <r>
      <rPr>
        <sz val="10"/>
        <rFont val="Noto Sans CJK SC"/>
        <family val="2"/>
      </rPr>
      <t xml:space="preserve">实时回路，成为安全关键路径</t>
    </r>
  </si>
  <si>
    <t xml:space="preserve">NAV-31c</t>
  </si>
  <si>
    <r>
      <rPr>
        <sz val="10"/>
        <rFont val="Noto Sans CJK SC"/>
        <family val="2"/>
      </rPr>
      <t xml:space="preserve">原始点云不得直接进入 </t>
    </r>
    <r>
      <rPr>
        <sz val="10"/>
        <rFont val="Arial"/>
        <family val="0"/>
        <charset val="1"/>
      </rPr>
      <t xml:space="preserve">Python </t>
    </r>
    <r>
      <rPr>
        <sz val="10"/>
        <rFont val="Noto Sans CJK SC"/>
        <family val="2"/>
      </rPr>
      <t xml:space="preserve">侧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</si>
  <si>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原始点云不得直接进入 </t>
    </r>
    <r>
      <rPr>
        <sz val="10"/>
        <rFont val="Arial"/>
        <family val="0"/>
        <charset val="1"/>
      </rPr>
      <t xml:space="preserve">Python </t>
    </r>
    <r>
      <rPr>
        <sz val="10"/>
        <rFont val="Noto Sans CJK SC"/>
        <family val="2"/>
      </rPr>
      <t xml:space="preserve">侧：</t>
    </r>
    <r>
      <rPr>
        <sz val="10"/>
        <rFont val="Arial"/>
        <family val="0"/>
        <charset val="1"/>
      </rPr>
      <t xml:space="preserve">32 </t>
    </r>
    <r>
      <rPr>
        <sz val="10"/>
        <rFont val="Noto Sans CJK SC"/>
        <family val="2"/>
      </rPr>
      <t xml:space="preserve">线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双路 </t>
    </r>
    <r>
      <rPr>
        <sz val="10"/>
        <rFont val="Arial"/>
        <family val="0"/>
        <charset val="1"/>
      </rPr>
      <t xml:space="preserve">× 20 Hz ≈ 36 MB/s</t>
    </r>
    <r>
      <rPr>
        <sz val="10"/>
        <rFont val="Noto Sans CJK SC"/>
        <family val="2"/>
      </rPr>
      <t xml:space="preserve">，反序列化与内存拷贝会威胁控制周期，且大数组操作持有 </t>
    </r>
    <r>
      <rPr>
        <sz val="10"/>
        <rFont val="Arial"/>
        <family val="0"/>
        <charset val="1"/>
      </rPr>
      <t xml:space="preserve">GIL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ROI </t>
    </r>
    <r>
      <rPr>
        <sz val="10"/>
        <rFont val="Noto Sans CJK SC"/>
        <family val="2"/>
      </rPr>
      <t xml:space="preserve">裁剪与体素下采样必须在 </t>
    </r>
    <r>
      <rPr>
        <sz val="10"/>
        <rFont val="Arial"/>
        <family val="0"/>
        <charset val="1"/>
      </rPr>
      <t xml:space="preserve">perception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C++</t>
    </r>
    <r>
      <rPr>
        <sz val="10"/>
        <rFont val="Noto Sans CJK SC"/>
        <family val="2"/>
      </rPr>
      <t xml:space="preserve">）完成</t>
    </r>
  </si>
  <si>
    <t xml:space="preserve">NAV-31d</t>
  </si>
  <si>
    <r>
      <rPr>
        <sz val="10"/>
        <rFont val="Noto Sans CJK SC"/>
        <family val="2"/>
      </rPr>
      <t xml:space="preserve">已作废（ </t>
    </r>
    <r>
      <rPr>
        <sz val="10"/>
        <rFont val="Arial"/>
        <family val="0"/>
        <charset val="1"/>
      </rPr>
      <t xml:space="preserve">§0.4a② —— </t>
    </r>
    <r>
      <rPr>
        <sz val="10"/>
        <rFont val="Noto Sans CJK SC"/>
        <family val="2"/>
      </rPr>
      <t xml:space="preserve">被 </t>
    </r>
    <r>
      <rPr>
        <sz val="10"/>
        <rFont val="Arial"/>
        <family val="0"/>
        <charset val="1"/>
      </rPr>
      <t xml:space="preserve">NAV-31e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NAV-31g </t>
    </r>
    <r>
      <rPr>
        <sz val="10"/>
        <rFont val="Noto Sans CJK SC"/>
        <family val="2"/>
      </rPr>
      <t xml:space="preserve">取代</t>
    </r>
  </si>
  <si>
    <r>
      <rPr>
        <sz val="10"/>
        <rFont val="Noto Sans CJK SC"/>
        <family val="2"/>
      </rPr>
      <t xml:space="preserve">已作废（ </t>
    </r>
    <r>
      <rPr>
        <sz val="10"/>
        <rFont val="Arial"/>
        <family val="0"/>
        <charset val="1"/>
      </rPr>
      <t xml:space="preserve">§0.4a② —— </t>
    </r>
    <r>
      <rPr>
        <sz val="10"/>
        <rFont val="Noto Sans CJK SC"/>
        <family val="2"/>
      </rPr>
      <t xml:space="preserve">被 </t>
    </r>
    <r>
      <rPr>
        <sz val="10"/>
        <rFont val="Arial"/>
        <family val="0"/>
        <charset val="1"/>
      </rPr>
      <t xml:space="preserve">NAV-31e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NAV-31g </t>
    </r>
    <r>
      <rPr>
        <sz val="10"/>
        <rFont val="Noto Sans CJK SC"/>
        <family val="2"/>
      </rPr>
      <t xml:space="preserve">取代； 原文保留备查）：</t>
    </r>
  </si>
  <si>
    <t xml:space="preserve">NAV-31e</t>
  </si>
  <si>
    <r>
      <rPr>
        <sz val="10"/>
        <rFont val="Arial"/>
        <family val="0"/>
        <charset val="1"/>
      </rPr>
      <t xml:space="preserve">V6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能力增强</t>
    </r>
  </si>
  <si>
    <r>
      <rPr>
        <sz val="10"/>
        <rFont val="Arial"/>
        <family val="0"/>
        <charset val="1"/>
      </rPr>
      <t xml:space="preserve">V6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能力增强：</t>
    </r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仅消费感知元数据；</t>
    </r>
    <r>
      <rPr>
        <sz val="10"/>
        <rFont val="Arial"/>
        <family val="0"/>
        <charset val="1"/>
      </rPr>
      <t xml:space="preserve">V6 </t>
    </r>
    <r>
      <rPr>
        <sz val="10"/>
        <rFont val="Noto Sans CJK SC"/>
        <family val="2"/>
      </rPr>
      <t xml:space="preserve">在保留原有避障绕障逻辑的基础上，新增基于底盘前向激光栅格的障碍物检出与绕障能力（体素膨胀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走廊搜索），并从 </t>
    </r>
    <r>
      <rPr>
        <sz val="10"/>
        <rFont val="Arial"/>
        <family val="0"/>
        <charset val="1"/>
      </rPr>
      <t xml:space="preserve">10 Hz </t>
    </r>
    <r>
      <rPr>
        <sz val="10"/>
        <rFont val="Noto Sans CJK SC"/>
        <family val="2"/>
      </rPr>
      <t xml:space="preserve">提升至 </t>
    </r>
    <r>
      <rPr>
        <sz val="10"/>
        <rFont val="Arial"/>
        <family val="0"/>
        <charset val="1"/>
      </rPr>
      <t xml:space="preserve">20 Hz</t>
    </r>
  </si>
  <si>
    <t xml:space="preserve">NAV-31f</t>
  </si>
  <si>
    <t xml:space="preserve">双输入分工</t>
  </si>
  <si>
    <r>
      <rPr>
        <sz val="10"/>
        <rFont val="Noto Sans CJK SC"/>
        <family val="2"/>
      </rPr>
      <t xml:space="preserve">双输入分工：</t>
    </r>
    <r>
      <rPr>
        <sz val="10"/>
        <rFont val="Arial"/>
        <family val="0"/>
        <charset val="1"/>
      </rPr>
      <t xml:space="preserve">targets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20–30 Hz</t>
    </r>
    <r>
      <rPr>
        <sz val="10"/>
        <rFont val="Noto Sans CJK SC"/>
        <family val="2"/>
      </rPr>
      <t xml:space="preserve">，快变量）承担目标级避障与类别语义；</t>
    </r>
    <r>
      <rPr>
        <sz val="10"/>
        <rFont val="Arial"/>
        <family val="0"/>
        <charset val="1"/>
      </rPr>
      <t xml:space="preserve">lidar/grid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 Hz</t>
    </r>
    <r>
      <rPr>
        <sz val="10"/>
        <rFont val="Noto Sans CJK SC"/>
        <family val="2"/>
      </rPr>
      <t xml:space="preserve">，慢变量）承担 </t>
    </r>
    <r>
      <rPr>
        <sz val="10"/>
        <rFont val="Arial"/>
        <family val="0"/>
        <charset val="1"/>
      </rPr>
      <t xml:space="preserve">class-agnostic </t>
    </r>
    <r>
      <rPr>
        <sz val="10"/>
        <rFont val="Noto Sans CJK SC"/>
        <family val="2"/>
      </rPr>
      <t xml:space="preserve">障碍检出 —— 后者能发现 </t>
    </r>
    <r>
      <rPr>
        <sz val="10"/>
        <rFont val="Arial"/>
        <family val="0"/>
        <charset val="1"/>
      </rPr>
      <t xml:space="preserve">YOLO </t>
    </r>
    <r>
      <rPr>
        <sz val="10"/>
        <rFont val="Noto Sans CJK SC"/>
        <family val="2"/>
      </rPr>
      <t xml:space="preserve">类别外的水泥墩、路障、绳索</t>
    </r>
  </si>
  <si>
    <t xml:space="preserve">NAV-31g</t>
  </si>
  <si>
    <r>
      <rPr>
        <sz val="10"/>
        <rFont val="Noto Sans CJK SC"/>
        <family val="2"/>
      </rPr>
      <t xml:space="preserve">逐点操作归 </t>
    </r>
    <r>
      <rPr>
        <sz val="10"/>
        <rFont val="Arial"/>
        <family val="0"/>
        <charset val="1"/>
      </rPr>
      <t xml:space="preserve">C++</t>
    </r>
    <r>
      <rPr>
        <sz val="10"/>
        <rFont val="Noto Sans CJK SC"/>
        <family val="2"/>
      </rPr>
      <t xml:space="preserve">，逐格操作归 </t>
    </r>
    <r>
      <rPr>
        <sz val="10"/>
        <rFont val="Arial"/>
        <family val="0"/>
        <charset val="1"/>
      </rPr>
      <t xml:space="preserve">Python</t>
    </r>
  </si>
  <si>
    <r>
      <rPr>
        <sz val="10"/>
        <rFont val="Noto Sans CJK SC"/>
        <family val="2"/>
      </rPr>
      <t xml:space="preserve">逐点操作归 </t>
    </r>
    <r>
      <rPr>
        <sz val="10"/>
        <rFont val="Arial"/>
        <family val="0"/>
        <charset val="1"/>
      </rPr>
      <t xml:space="preserve">C++</t>
    </r>
    <r>
      <rPr>
        <sz val="10"/>
        <rFont val="Noto Sans CJK SC"/>
        <family val="2"/>
      </rPr>
      <t xml:space="preserve">，逐格操作归 </t>
    </r>
    <r>
      <rPr>
        <sz val="10"/>
        <rFont val="Arial"/>
        <family val="0"/>
        <charset val="1"/>
      </rPr>
      <t xml:space="preserve">Python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ROI </t>
    </r>
    <r>
      <rPr>
        <sz val="10"/>
        <rFont val="Noto Sans CJK SC"/>
        <family val="2"/>
      </rPr>
      <t xml:space="preserve">裁剪、地面分割、体素下采样、栅格投影在 </t>
    </r>
    <r>
      <rPr>
        <sz val="10"/>
        <rFont val="Arial"/>
        <family val="0"/>
        <charset val="1"/>
      </rPr>
      <t xml:space="preserve">perception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C++</t>
    </r>
    <r>
      <rPr>
        <sz val="10"/>
        <rFont val="Noto Sans CJK SC"/>
        <family val="2"/>
      </rPr>
      <t xml:space="preserve">）完成；体素膨胀与绕障走廊搜索在 </t>
    </r>
    <r>
      <rPr>
        <sz val="10"/>
        <rFont val="Arial"/>
        <family val="0"/>
        <charset val="1"/>
      </rPr>
      <t xml:space="preserve">RNS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Python</t>
    </r>
    <r>
      <rPr>
        <sz val="10"/>
        <rFont val="Noto Sans CJK SC"/>
        <family val="2"/>
      </rPr>
      <t xml:space="preserve">）完成。
理由：膨胀半径是避障策略参数且需随速度动态变化（</t>
    </r>
    <r>
      <rPr>
        <sz val="10"/>
        <rFont val="Arial"/>
        <family val="0"/>
        <charset val="1"/>
      </rPr>
      <t xml:space="preserve">r = r_robot + margin + k·v</t>
    </r>
    <r>
      <rPr>
        <sz val="10"/>
        <rFont val="Noto Sans CJK SC"/>
        <family val="2"/>
      </rPr>
      <t xml:space="preserve">），属策略而非感知；</t>
    </r>
    <r>
      <rPr>
        <sz val="10"/>
        <rFont val="Arial"/>
        <family val="0"/>
        <charset val="1"/>
      </rPr>
      <t xml:space="preserve">per-cell </t>
    </r>
    <r>
      <rPr>
        <sz val="10"/>
        <rFont val="Noto Sans CJK SC"/>
        <family val="2"/>
      </rPr>
      <t xml:space="preserve">操作仅 </t>
    </r>
    <r>
      <rPr>
        <sz val="10"/>
        <rFont val="Arial"/>
        <family val="0"/>
        <charset val="1"/>
      </rPr>
      <t xml:space="preserve">0.5–2 ms</t>
    </r>
  </si>
  <si>
    <t xml:space="preserve">NAV-31h</t>
  </si>
  <si>
    <t xml:space="preserve">性能约束</t>
  </si>
  <si>
    <r>
      <rPr>
        <sz val="10"/>
        <rFont val="Noto Sans CJK SC"/>
        <family val="2"/>
      </rPr>
      <t xml:space="preserve">性能约束：若 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直接吃原始点云自行处理，</t>
    </r>
    <r>
      <rPr>
        <sz val="10"/>
        <rFont val="Arial"/>
        <family val="0"/>
        <charset val="1"/>
      </rPr>
      <t xml:space="preserve">32 </t>
    </r>
    <r>
      <rPr>
        <sz val="10"/>
        <rFont val="Noto Sans CJK SC"/>
        <family val="2"/>
      </rPr>
      <t xml:space="preserve">线朴素实现估算 </t>
    </r>
    <r>
      <rPr>
        <sz val="10"/>
        <rFont val="Arial"/>
        <family val="0"/>
        <charset val="1"/>
      </rPr>
      <t xml:space="preserve">27–65 ms</t>
    </r>
    <r>
      <rPr>
        <sz val="10"/>
        <rFont val="Noto Sans CJK SC"/>
        <family val="2"/>
      </rPr>
      <t xml:space="preserve">，直接击穿 </t>
    </r>
    <r>
      <rPr>
        <sz val="10"/>
        <rFont val="Arial"/>
        <family val="0"/>
        <charset val="1"/>
      </rPr>
      <t xml:space="preserve">20 Hz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50 ms </t>
    </r>
    <r>
      <rPr>
        <sz val="10"/>
        <rFont val="Noto Sans CJK SC"/>
        <family val="2"/>
      </rPr>
      <t xml:space="preserve">周期。按 </t>
    </r>
    <r>
      <rPr>
        <sz val="10"/>
        <rFont val="Arial"/>
        <family val="0"/>
        <charset val="1"/>
      </rPr>
      <t xml:space="preserve">NAV-31g </t>
    </r>
    <r>
      <rPr>
        <sz val="10"/>
        <rFont val="Noto Sans CJK SC"/>
        <family val="2"/>
      </rPr>
      <t xml:space="preserve">分工后 </t>
    </r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侧成本降至 </t>
    </r>
    <r>
      <rPr>
        <sz val="10"/>
        <rFont val="Arial"/>
        <family val="0"/>
        <charset val="1"/>
      </rPr>
      <t xml:space="preserve">2–5 ms</t>
    </r>
  </si>
  <si>
    <t xml:space="preserve">NAV-32</t>
  </si>
  <si>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输出全向运动指令，最终经 </t>
    </r>
    <r>
      <rPr>
        <sz val="10"/>
        <rFont val="Arial"/>
        <family val="0"/>
        <charset val="1"/>
      </rPr>
      <t xml:space="preserve">quadruped </t>
    </r>
    <r>
      <rPr>
        <sz val="10"/>
        <rFont val="Noto Sans CJK SC"/>
        <family val="2"/>
      </rPr>
      <t xml:space="preserve">节点下发至底盘</t>
    </r>
  </si>
  <si>
    <t xml:space="preserve">NAV-33</t>
  </si>
  <si>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控制回路为硬实时链路，不得被 </t>
    </r>
    <r>
      <rPr>
        <sz val="10"/>
        <rFont val="Arial"/>
        <family val="0"/>
        <charset val="1"/>
      </rPr>
      <t xml:space="preserve">AI/Agent </t>
    </r>
    <r>
      <rPr>
        <sz val="10"/>
        <rFont val="Noto Sans CJK SC"/>
        <family val="2"/>
      </rPr>
      <t xml:space="preserve">层阻塞</t>
    </r>
  </si>
  <si>
    <t xml:space="preserve">NAV-34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</si>
  <si>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层（</t>
    </r>
    <r>
      <rPr>
        <sz val="10"/>
        <rFont val="Arial"/>
        <family val="0"/>
        <charset val="1"/>
      </rPr>
      <t xml:space="preserve">LLM / Agent / </t>
    </r>
    <r>
      <rPr>
        <sz val="10"/>
        <rFont val="Noto Sans CJK SC"/>
        <family val="2"/>
      </rPr>
      <t xml:space="preserve">语音）全部失效时，机器人仍必须能够完成当前路径导航并正常停车 —— 可测试的验收标…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</si>
  <si>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层（</t>
    </r>
    <r>
      <rPr>
        <sz val="10"/>
        <rFont val="Arial"/>
        <family val="0"/>
        <charset val="1"/>
      </rPr>
      <t xml:space="preserve">LLM / Agent / </t>
    </r>
    <r>
      <rPr>
        <sz val="10"/>
        <rFont val="Noto Sans CJK SC"/>
        <family val="2"/>
      </rPr>
      <t xml:space="preserve">语音）全部失效时，机器人仍必须能够完成当前路径导航并正常停车 —— 可测试的验收标准</t>
    </r>
  </si>
  <si>
    <t xml:space="preserve">NAV-35</t>
  </si>
  <si>
    <r>
      <rPr>
        <sz val="10"/>
        <rFont val="Noto Sans CJK SC"/>
        <family val="2"/>
      </rPr>
      <t xml:space="preserve">控制频率由 </t>
    </r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10 Hz </t>
    </r>
    <r>
      <rPr>
        <sz val="10"/>
        <rFont val="Noto Sans CJK SC"/>
        <family val="2"/>
      </rPr>
      <t xml:space="preserve">提升至 </t>
    </r>
    <r>
      <rPr>
        <sz val="10"/>
        <rFont val="Arial"/>
        <family val="0"/>
        <charset val="1"/>
      </rPr>
      <t xml:space="preserve">V6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20 Hz</t>
    </r>
  </si>
  <si>
    <t xml:space="preserve">NAV-36</t>
  </si>
  <si>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必须运行于独立进程（</t>
    </r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xbrain_runtime </t>
    </r>
    <r>
      <rPr>
        <sz val="10"/>
        <rFont val="Noto Sans CJK SC"/>
        <family val="2"/>
      </rPr>
      <t xml:space="preserve">同进程）</t>
    </r>
  </si>
  <si>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必须运行于独立进程（</t>
    </r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xbrain_runtime </t>
    </r>
    <r>
      <rPr>
        <sz val="10"/>
        <rFont val="Noto Sans CJK SC"/>
        <family val="2"/>
      </rPr>
      <t xml:space="preserve">同进程）。理由为 </t>
    </r>
    <r>
      <rPr>
        <sz val="10"/>
        <rFont val="Arial"/>
        <family val="0"/>
        <charset val="1"/>
      </rPr>
      <t xml:space="preserve">Python GIL</t>
    </r>
    <r>
      <rPr>
        <sz val="10"/>
        <rFont val="Noto Sans CJK SC"/>
        <family val="2"/>
      </rPr>
      <t xml:space="preserve">：同进程内的 </t>
    </r>
    <r>
      <rPr>
        <sz val="10"/>
        <rFont val="Arial"/>
        <family val="0"/>
        <charset val="1"/>
      </rPr>
      <t xml:space="preserve">SQLite commit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5–50 ms</t>
    </r>
    <r>
      <rPr>
        <sz val="10"/>
        <rFont val="Noto Sans CJK SC"/>
        <family val="2"/>
      </rPr>
      <t xml:space="preserve">）、正则纠错（</t>
    </r>
    <r>
      <rPr>
        <sz val="10"/>
        <rFont val="Arial"/>
        <family val="0"/>
        <charset val="1"/>
      </rPr>
      <t xml:space="preserve">1–20 ms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GC </t>
    </r>
    <r>
      <rPr>
        <sz val="10"/>
        <rFont val="Noto Sans CJK SC"/>
        <family val="2"/>
      </rPr>
      <t xml:space="preserve">二代回收（</t>
    </r>
    <r>
      <rPr>
        <sz val="10"/>
        <rFont val="Arial"/>
        <family val="0"/>
        <charset val="1"/>
      </rPr>
      <t xml:space="preserve">10–100 ms</t>
    </r>
    <r>
      <rPr>
        <sz val="10"/>
        <rFont val="Noto Sans CJK SC"/>
        <family val="2"/>
      </rPr>
      <t xml:space="preserve">）均持有 </t>
    </r>
    <r>
      <rPr>
        <sz val="10"/>
        <rFont val="Arial"/>
        <family val="0"/>
        <charset val="1"/>
      </rPr>
      <t xml:space="preserve">GIL</t>
    </r>
    <r>
      <rPr>
        <sz val="10"/>
        <rFont val="Noto Sans CJK SC"/>
        <family val="2"/>
      </rPr>
      <t xml:space="preserve">，会直接冻结 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控制回路。此为 </t>
    </r>
    <r>
      <rPr>
        <sz val="10"/>
        <rFont val="Arial"/>
        <family val="0"/>
        <charset val="1"/>
      </rPr>
      <t xml:space="preserve">Python </t>
    </r>
    <r>
      <rPr>
        <sz val="10"/>
        <rFont val="Noto Sans CJK SC"/>
        <family val="2"/>
      </rPr>
      <t xml:space="preserve">的物理约束，非架构偏好</t>
    </r>
  </si>
  <si>
    <t xml:space="preserve">NAV-37</t>
  </si>
  <si>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进程内的 </t>
    </r>
    <r>
      <rPr>
        <sz val="10"/>
        <rFont val="Arial"/>
        <family val="0"/>
        <charset val="1"/>
      </rPr>
      <t xml:space="preserve">Python </t>
    </r>
    <r>
      <rPr>
        <sz val="10"/>
        <rFont val="Noto Sans CJK SC"/>
        <family val="2"/>
      </rPr>
      <t xml:space="preserve">实时化措施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</si>
  <si>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进程内的 </t>
    </r>
    <r>
      <rPr>
        <sz val="10"/>
        <rFont val="Arial"/>
        <family val="0"/>
        <charset val="1"/>
      </rPr>
      <t xml:space="preserve">Python </t>
    </r>
    <r>
      <rPr>
        <sz val="10"/>
        <rFont val="Noto Sans CJK SC"/>
        <family val="2"/>
      </rPr>
      <t xml:space="preserve">实时化措施：① 初始化后调用 </t>
    </r>
    <r>
      <rPr>
        <sz val="10"/>
        <rFont val="Arial"/>
        <family val="0"/>
        <charset val="1"/>
      </rPr>
      <t xml:space="preserve">gc.freeze()</t>
    </r>
    <r>
      <rPr>
        <sz val="10"/>
        <rFont val="Noto Sans CJK SC"/>
        <family val="2"/>
      </rPr>
      <t xml:space="preserve">；② 控制回路内禁止 </t>
    </r>
    <r>
      <rPr>
        <sz val="10"/>
        <rFont val="Arial"/>
        <family val="0"/>
        <charset val="1"/>
      </rPr>
      <t xml:space="preserve">GC </t>
    </r>
    <r>
      <rPr>
        <sz val="10"/>
        <rFont val="Noto Sans CJK SC"/>
        <family val="2"/>
      </rPr>
      <t xml:space="preserve">二代自动回收，改为静止时手动触发；③ 回路内禁止任何阻塞 </t>
    </r>
    <r>
      <rPr>
        <sz val="10"/>
        <rFont val="Arial"/>
        <family val="0"/>
        <charset val="1"/>
      </rPr>
      <t xml:space="preserve">I/O</t>
    </r>
    <r>
      <rPr>
        <sz val="10"/>
        <rFont val="Noto Sans CJK SC"/>
        <family val="2"/>
      </rPr>
      <t xml:space="preserve">（日志走无锁队列异步落盘）</t>
    </r>
  </si>
  <si>
    <t xml:space="preserve">NAV-38</t>
  </si>
  <si>
    <r>
      <rPr>
        <sz val="10"/>
        <rFont val="Arial"/>
        <family val="0"/>
        <charset val="1"/>
      </rPr>
      <t xml:space="preserve">perception </t>
    </r>
    <r>
      <rPr>
        <sz val="10"/>
        <rFont val="Noto Sans CJK SC"/>
        <family val="2"/>
      </rPr>
      <t xml:space="preserve">必须同步达到 ≥ </t>
    </r>
    <r>
      <rPr>
        <sz val="10"/>
        <rFont val="Arial"/>
        <family val="0"/>
        <charset val="1"/>
      </rPr>
      <t xml:space="preserve">20 Hz</t>
    </r>
    <r>
      <rPr>
        <sz val="10"/>
        <rFont val="Noto Sans CJK SC"/>
        <family val="2"/>
      </rPr>
      <t xml:space="preserve">，否则 </t>
    </r>
    <r>
      <rPr>
        <sz val="10"/>
        <rFont val="Arial"/>
        <family val="0"/>
        <charset val="1"/>
      </rPr>
      <t xml:space="preserve">RNS 20 Hz </t>
    </r>
    <r>
      <rPr>
        <sz val="10"/>
        <rFont val="Noto Sans CJK SC"/>
        <family val="2"/>
      </rPr>
      <t xml:space="preserve">只是在重采样陈旧数据</t>
    </r>
  </si>
  <si>
    <r>
      <rPr>
        <sz val="10"/>
        <rFont val="Arial"/>
        <family val="0"/>
        <charset val="1"/>
      </rPr>
      <t xml:space="preserve">perception </t>
    </r>
    <r>
      <rPr>
        <sz val="10"/>
        <rFont val="Noto Sans CJK SC"/>
        <family val="2"/>
      </rPr>
      <t xml:space="preserve">必须同步达到 ≥ </t>
    </r>
    <r>
      <rPr>
        <sz val="10"/>
        <rFont val="Arial"/>
        <family val="0"/>
        <charset val="1"/>
      </rPr>
      <t xml:space="preserve">20 Hz</t>
    </r>
    <r>
      <rPr>
        <sz val="10"/>
        <rFont val="Noto Sans CJK SC"/>
        <family val="2"/>
      </rPr>
      <t xml:space="preserve">，否则 </t>
    </r>
    <r>
      <rPr>
        <sz val="10"/>
        <rFont val="Arial"/>
        <family val="0"/>
        <charset val="1"/>
      </rPr>
      <t xml:space="preserve">RNS 20 Hz </t>
    </r>
    <r>
      <rPr>
        <sz val="10"/>
        <rFont val="Noto Sans CJK SC"/>
        <family val="2"/>
      </rPr>
      <t xml:space="preserve">只是在重采样陈旧数据。整条链路的最慢一环决定实际反应能力</t>
    </r>
  </si>
  <si>
    <t xml:space="preserve">NAV-39</t>
  </si>
  <si>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的数据接入层应抽象为独立接口（</t>
    </r>
    <r>
      <rPr>
        <sz val="10"/>
        <rFont val="Arial"/>
        <family val="0"/>
        <charset val="1"/>
      </rPr>
      <t xml:space="preserve">PerceptionSource</t>
    </r>
    <r>
      <rPr>
        <sz val="10"/>
        <rFont val="Noto Sans CJK SC"/>
        <family val="2"/>
      </rPr>
      <t xml:space="preserve">），底层实现可为 </t>
    </r>
    <r>
      <rPr>
        <sz val="10"/>
        <rFont val="Arial"/>
        <family val="0"/>
        <charset val="1"/>
      </rPr>
      <t xml:space="preserve">Zenoh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rclpy</t>
    </r>
    <r>
      <rPr>
        <sz val="10"/>
        <rFont val="Noto Sans CJK SC"/>
        <family val="2"/>
      </rPr>
      <t xml:space="preserve">，便于…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</si>
  <si>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的数据接入层应抽象为独立接口（</t>
    </r>
    <r>
      <rPr>
        <sz val="10"/>
        <rFont val="Arial"/>
        <family val="0"/>
        <charset val="1"/>
      </rPr>
      <t xml:space="preserve">PerceptionSource</t>
    </r>
    <r>
      <rPr>
        <sz val="10"/>
        <rFont val="Noto Sans CJK SC"/>
        <family val="2"/>
      </rPr>
      <t xml:space="preserve">），底层实现可为 </t>
    </r>
    <r>
      <rPr>
        <sz val="10"/>
        <rFont val="Arial"/>
        <family val="0"/>
        <charset val="1"/>
      </rPr>
      <t xml:space="preserve">Zenoh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rclpy</t>
    </r>
    <r>
      <rPr>
        <sz val="10"/>
        <rFont val="Noto Sans CJK SC"/>
        <family val="2"/>
      </rPr>
      <t xml:space="preserve">，便于后续切换而不改动算法本体</t>
    </r>
  </si>
  <si>
    <r>
      <rPr>
        <sz val="10"/>
        <rFont val="Arial"/>
        <family val="0"/>
        <charset val="1"/>
      </rPr>
      <t xml:space="preserve">F1 / 3.5 </t>
    </r>
    <r>
      <rPr>
        <sz val="10"/>
        <rFont val="Noto Sans CJK SC"/>
        <family val="2"/>
      </rPr>
      <t xml:space="preserve">电子围栏</t>
    </r>
  </si>
  <si>
    <t xml:space="preserve">NAV-40</t>
  </si>
  <si>
    <r>
      <rPr>
        <sz val="10"/>
        <rFont val="Noto Sans CJK SC"/>
        <family val="2"/>
      </rPr>
      <t xml:space="preserve">系统支持电子围栏，由 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位置点构成多边形区域</t>
    </r>
  </si>
  <si>
    <r>
      <rPr>
        <sz val="10"/>
        <rFont val="Noto Sans CJK SC"/>
        <family val="2"/>
      </rPr>
      <t xml:space="preserve">🟡 未核：</t>
    </r>
    <r>
      <rPr>
        <sz val="10"/>
        <rFont val="Arial"/>
        <family val="0"/>
        <charset val="1"/>
      </rPr>
      <t xml:space="preserve">p3 </t>
    </r>
    <r>
      <rPr>
        <sz val="10"/>
        <rFont val="Noto Sans CJK SC"/>
        <family val="2"/>
      </rPr>
      <t xml:space="preserve">有围栏库；</t>
    </r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围栏裁剪 </t>
    </r>
    <r>
      <rPr>
        <sz val="10"/>
        <rFont val="Arial"/>
        <family val="0"/>
        <charset val="1"/>
      </rPr>
      <t xml:space="preserve">09-12 </t>
    </r>
    <r>
      <rPr>
        <sz val="10"/>
        <rFont val="Noto Sans CJK SC"/>
        <family val="2"/>
      </rPr>
      <t xml:space="preserve">时未链，现状未复核</t>
    </r>
  </si>
  <si>
    <t xml:space="preserve">NAV-41</t>
  </si>
  <si>
    <r>
      <rPr>
        <sz val="10"/>
        <rFont val="Noto Sans CJK SC"/>
        <family val="2"/>
      </rPr>
      <t xml:space="preserve">电子围栏是运动约束，必须在控制回路中强制执行，不得仅作为 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显示元素</t>
    </r>
  </si>
  <si>
    <t xml:space="preserve">NAV-42</t>
  </si>
  <si>
    <t xml:space="preserve">围栏应在速度指令输出处做几何裁剪，而非仅在任务层做规划期检查 —— 后者无法防止控制误差、打滑或定位跳变造成的实际越界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</si>
  <si>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围栏应在速度指令输出处做几何裁剪，而非仅在任务层做规划期检查 —— 后者无法防止控制误差、打滑或定位跳变造成的实际越界</t>
    </r>
  </si>
  <si>
    <t xml:space="preserve">NAV-43</t>
  </si>
  <si>
    <t xml:space="preserve">两级围栏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</si>
  <si>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两级围栏：软围栏（接近边界 → 减速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告警事件）；硬围栏（越界 → 禁止朝外速度分量，保留朝内分量以便退回）</t>
    </r>
  </si>
  <si>
    <t xml:space="preserve">NAV-44</t>
  </si>
  <si>
    <r>
      <rPr>
        <sz val="10"/>
        <rFont val="Noto Sans CJK SC"/>
        <family val="2"/>
      </rPr>
      <t xml:space="preserve">围栏判定依赖 </t>
    </r>
    <r>
      <rPr>
        <sz val="10"/>
        <rFont val="Arial"/>
        <family val="0"/>
        <charset val="1"/>
      </rPr>
      <t xml:space="preserve">RTK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降级时围栏保护同步降级，此联动关系必须明确定义</t>
    </r>
  </si>
  <si>
    <t xml:space="preserve">NAV-45</t>
  </si>
  <si>
    <r>
      <rPr>
        <sz val="10"/>
        <rFont val="Noto Sans CJK SC"/>
        <family val="2"/>
      </rPr>
      <t xml:space="preserve">围栏用于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模式退出判定（目标退出围栏 → 退出报警模式），见 </t>
    </r>
    <r>
      <rPr>
        <sz val="10"/>
        <rFont val="Arial"/>
        <family val="0"/>
        <charset val="1"/>
      </rPr>
      <t xml:space="preserve">VOI-44</t>
    </r>
  </si>
  <si>
    <t xml:space="preserve">NAV-46</t>
  </si>
  <si>
    <r>
      <rPr>
        <sz val="10"/>
        <rFont val="Noto Sans CJK SC"/>
        <family val="2"/>
      </rPr>
      <t xml:space="preserve">围栏判定须计入 </t>
    </r>
    <r>
      <rPr>
        <sz val="10"/>
        <rFont val="Arial"/>
        <family val="0"/>
        <charset val="1"/>
      </rPr>
      <t xml:space="preserve">NAV-06 </t>
    </r>
    <r>
      <rPr>
        <sz val="10"/>
        <rFont val="Noto Sans CJK SC"/>
        <family val="2"/>
      </rPr>
      <t xml:space="preserve">的位置不确定度，边界应内缩安全余量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</si>
  <si>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围栏判定须计入 </t>
    </r>
    <r>
      <rPr>
        <sz val="10"/>
        <rFont val="Arial"/>
        <family val="0"/>
        <charset val="1"/>
      </rPr>
      <t xml:space="preserve">NAV-06 </t>
    </r>
    <r>
      <rPr>
        <sz val="10"/>
        <rFont val="Noto Sans CJK SC"/>
        <family val="2"/>
      </rPr>
      <t xml:space="preserve">的位置不确定度，边界应内缩安全余量。
 限定词删除（</t>
    </r>
    <r>
      <rPr>
        <sz val="10"/>
        <rFont val="Arial"/>
        <family val="0"/>
        <charset val="1"/>
      </rPr>
      <t xml:space="preserve">U54</t>
    </r>
    <r>
      <rPr>
        <sz val="10"/>
        <rFont val="Noto Sans CJK SC"/>
        <family val="2"/>
      </rPr>
      <t xml:space="preserve">） —— 最高只有 </t>
    </r>
    <r>
      <rPr>
        <sz val="10"/>
        <rFont val="Arial"/>
        <family val="0"/>
        <charset val="1"/>
      </rPr>
      <t xml:space="preserve">2 m/s</t>
    </r>
    <r>
      <rPr>
        <sz val="10"/>
        <rFont val="Noto Sans CJK SC"/>
        <family val="2"/>
      </rPr>
      <t xml:space="preserve">，本条不再是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高速专属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要求； 内缩余量按 </t>
    </r>
    <r>
      <rPr>
        <sz val="10"/>
        <rFont val="Arial"/>
        <family val="0"/>
        <charset val="1"/>
      </rPr>
      <t xml:space="preserve">NAV-06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0.10–0.20 m </t>
    </r>
    <r>
      <rPr>
        <sz val="10"/>
        <rFont val="Noto Sans CJK SC"/>
        <family val="2"/>
      </rPr>
      <t xml:space="preserve">取，不得因速度下降而取消该项</t>
    </r>
  </si>
  <si>
    <r>
      <rPr>
        <sz val="10"/>
        <rFont val="Arial"/>
        <family val="0"/>
        <charset val="1"/>
      </rPr>
      <t xml:space="preserve">F1 / 3.6 </t>
    </r>
    <r>
      <rPr>
        <sz val="10"/>
        <rFont val="Noto Sans CJK SC"/>
        <family val="2"/>
      </rPr>
      <t xml:space="preserve">目标导向运动行为（</t>
    </r>
    <r>
      <rPr>
        <sz val="10"/>
        <rFont val="Arial"/>
        <family val="0"/>
        <charset val="1"/>
      </rPr>
      <t xml:space="preserve">D / B </t>
    </r>
    <r>
      <rPr>
        <sz val="10"/>
        <rFont val="Noto Sans CJK SC"/>
        <family val="2"/>
      </rPr>
      <t xml:space="preserve">模式）</t>
    </r>
  </si>
  <si>
    <t xml:space="preserve">NAV-50</t>
  </si>
  <si>
    <r>
      <rPr>
        <sz val="10"/>
        <rFont val="Arial"/>
        <family val="0"/>
        <charset val="1"/>
      </rPr>
      <t xml:space="preserve">D / B </t>
    </r>
    <r>
      <rPr>
        <sz val="10"/>
        <rFont val="Noto Sans CJK SC"/>
        <family val="2"/>
      </rPr>
      <t xml:space="preserve">模式期间的运动行为通过 </t>
    </r>
    <r>
      <rPr>
        <sz val="10"/>
        <rFont val="Arial"/>
        <family val="0"/>
        <charset val="1"/>
      </rPr>
      <t xml:space="preserve">YAML </t>
    </r>
    <r>
      <rPr>
        <sz val="10"/>
        <rFont val="Noto Sans CJK SC"/>
        <family val="2"/>
      </rPr>
      <t xml:space="preserve">文本配置，支持以下行为</t>
    </r>
  </si>
  <si>
    <r>
      <rPr>
        <sz val="10"/>
        <rFont val="Arial"/>
        <family val="0"/>
        <charset val="1"/>
      </rPr>
      <t xml:space="preserve">D / B </t>
    </r>
    <r>
      <rPr>
        <sz val="10"/>
        <rFont val="Noto Sans CJK SC"/>
        <family val="2"/>
      </rPr>
      <t xml:space="preserve">模式期间的运动行为通过 </t>
    </r>
    <r>
      <rPr>
        <sz val="10"/>
        <rFont val="Arial"/>
        <family val="0"/>
        <charset val="1"/>
      </rPr>
      <t xml:space="preserve">YAML </t>
    </r>
    <r>
      <rPr>
        <sz val="10"/>
        <rFont val="Noto Sans CJK SC"/>
        <family val="2"/>
      </rPr>
      <t xml:space="preserve">文本配置，支持以下行为：</t>
    </r>
  </si>
  <si>
    <r>
      <rPr>
        <sz val="10"/>
        <rFont val="Arial"/>
        <family val="0"/>
        <charset val="1"/>
      </rPr>
      <t xml:space="preserve">✅/🟡 </t>
    </r>
    <r>
      <rPr>
        <sz val="10"/>
        <rFont val="Noto Sans CJK SC"/>
        <family val="2"/>
      </rPr>
      <t xml:space="preserve">按 </t>
    </r>
    <r>
      <rPr>
        <sz val="10"/>
        <rFont val="Arial"/>
        <family val="0"/>
        <charset val="1"/>
      </rPr>
      <t xml:space="preserve">U90 R-8(a) </t>
    </r>
    <r>
      <rPr>
        <sz val="10"/>
        <rFont val="Noto Sans CJK SC"/>
        <family val="2"/>
      </rPr>
      <t xml:space="preserve">收窄为 </t>
    </r>
    <r>
      <rPr>
        <sz val="10"/>
        <rFont val="Arial"/>
        <family val="0"/>
        <charset val="1"/>
      </rPr>
      <t xml:space="preserve">hold / resume_task</t>
    </r>
    <r>
      <rPr>
        <sz val="10"/>
        <rFont val="Noto Sans CJK SC"/>
        <family val="2"/>
      </rPr>
      <t xml:space="preserve">：真机已确认下发（</t>
    </r>
    <r>
      <rPr>
        <sz val="10"/>
        <rFont val="Arial"/>
        <family val="0"/>
        <charset val="1"/>
      </rPr>
      <t xml:space="preserve">10-28/29</t>
    </r>
    <r>
      <rPr>
        <sz val="10"/>
        <rFont val="Noto Sans CJK SC"/>
        <family val="2"/>
      </rPr>
      <t xml:space="preserve">），行走中被压停未验；对准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跟随目标本期不做</t>
    </r>
  </si>
  <si>
    <t xml:space="preserve">NAV-50a</t>
  </si>
  <si>
    <r>
      <rPr>
        <sz val="10"/>
        <rFont val="Noto Sans CJK SC"/>
        <family val="2"/>
      </rPr>
      <t xml:space="preserve">面向目标停车 —— 机器人停止移动，机体 </t>
    </r>
    <r>
      <rPr>
        <sz val="10"/>
        <rFont val="Arial"/>
        <family val="0"/>
        <charset val="1"/>
      </rPr>
      <t xml:space="preserve">yaw </t>
    </r>
    <r>
      <rPr>
        <sz val="10"/>
        <rFont val="Noto Sans CJK SC"/>
        <family val="2"/>
      </rPr>
      <t xml:space="preserve">对准目标</t>
    </r>
  </si>
  <si>
    <t xml:space="preserve">NAV-50b</t>
  </si>
  <si>
    <r>
      <rPr>
        <sz val="10"/>
        <rFont val="Noto Sans CJK SC"/>
        <family val="2"/>
      </rPr>
      <t xml:space="preserve">面向目标慢速跟随 —— 保持 ≥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米距离，机体持续对准目标</t>
    </r>
  </si>
  <si>
    <t xml:space="preserve">NAV-50c</t>
  </si>
  <si>
    <t xml:space="preserve">围栏边界停车 —— 跟随过程中到达电子围栏边界，则停车并保持面向目标</t>
  </si>
  <si>
    <t xml:space="preserve">NAV-51</t>
  </si>
  <si>
    <r>
      <rPr>
        <sz val="10"/>
        <rFont val="Noto Sans CJK SC"/>
        <family val="2"/>
      </rPr>
      <t xml:space="preserve">机体 </t>
    </r>
    <r>
      <rPr>
        <sz val="10"/>
        <rFont val="Arial"/>
        <family val="0"/>
        <charset val="1"/>
      </rPr>
      <t xml:space="preserve">yaw </t>
    </r>
    <r>
      <rPr>
        <sz val="10"/>
        <rFont val="Noto Sans CJK SC"/>
        <family val="2"/>
      </rPr>
      <t xml:space="preserve">对准精度同时决定三件事</t>
    </r>
  </si>
  <si>
    <r>
      <rPr>
        <sz val="10"/>
        <rFont val="Noto Sans CJK SC"/>
        <family val="2"/>
      </rPr>
      <t xml:space="preserve">机体 </t>
    </r>
    <r>
      <rPr>
        <sz val="10"/>
        <rFont val="Arial"/>
        <family val="0"/>
        <charset val="1"/>
      </rPr>
      <t xml:space="preserve">yaw </t>
    </r>
    <r>
      <rPr>
        <sz val="10"/>
        <rFont val="Noto Sans CJK SC"/>
        <family val="2"/>
      </rPr>
      <t xml:space="preserve">对准精度同时决定三件事：</t>
    </r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视野是否框住目标、定向喊话是否对着目标、跟随距离保持是否稳定</t>
    </r>
  </si>
  <si>
    <t xml:space="preserve">NAV-51b</t>
  </si>
  <si>
    <r>
      <rPr>
        <sz val="10"/>
        <rFont val="Arial"/>
        <family val="0"/>
        <charset val="1"/>
      </rPr>
      <t xml:space="preserve">C28 </t>
    </r>
    <r>
      <rPr>
        <sz val="10"/>
        <rFont val="Noto Sans CJK SC"/>
        <family val="2"/>
      </rPr>
      <t xml:space="preserve">之后，</t>
    </r>
    <r>
      <rPr>
        <sz val="10"/>
        <rFont val="Arial"/>
        <family val="0"/>
        <charset val="1"/>
      </rPr>
      <t xml:space="preserve">NAV-51 </t>
    </r>
    <r>
      <rPr>
        <sz val="10"/>
        <rFont val="Noto Sans CJK SC"/>
        <family val="2"/>
      </rPr>
      <t xml:space="preserve">的权重显著上升</t>
    </r>
  </si>
  <si>
    <r>
      <rPr>
        <sz val="10"/>
        <rFont val="Arial"/>
        <family val="0"/>
        <charset val="1"/>
      </rPr>
      <t xml:space="preserve">C28 </t>
    </r>
    <r>
      <rPr>
        <sz val="10"/>
        <rFont val="Noto Sans CJK SC"/>
        <family val="2"/>
      </rPr>
      <t xml:space="preserve">之后，</t>
    </r>
    <r>
      <rPr>
        <sz val="10"/>
        <rFont val="Arial"/>
        <family val="0"/>
        <charset val="1"/>
      </rPr>
      <t xml:space="preserve">NAV-51 </t>
    </r>
    <r>
      <rPr>
        <sz val="10"/>
        <rFont val="Noto Sans CJK SC"/>
        <family val="2"/>
      </rPr>
      <t xml:space="preserve">的权重显著上升：云台既无绝对定位也无位置回读（</t>
    </r>
    <r>
      <rPr>
        <sz val="10"/>
        <rFont val="Arial"/>
        <family val="0"/>
        <charset val="1"/>
      </rPr>
      <t xml:space="preserve">PAY-32</t>
    </r>
    <r>
      <rPr>
        <sz val="10"/>
        <rFont val="Noto Sans CJK SC"/>
        <family val="2"/>
      </rPr>
      <t xml:space="preserve">），不能靠云台去补机体的对准误差。 因此「视野框住目标」只能靠机体 </t>
    </r>
    <r>
      <rPr>
        <sz val="10"/>
        <rFont val="Arial"/>
        <family val="0"/>
        <charset val="1"/>
      </rPr>
      <t xml:space="preserve">yaw</t>
    </r>
    <r>
      <rPr>
        <sz val="10"/>
        <rFont val="Noto Sans CJK SC"/>
        <family val="2"/>
      </rPr>
      <t xml:space="preserve">，云台仅做操作员手动微调。 </t>
    </r>
    <r>
      <rPr>
        <sz val="10"/>
        <rFont val="Arial"/>
        <family val="0"/>
        <charset val="1"/>
      </rPr>
      <t xml:space="preserve">NAV-52 </t>
    </r>
    <r>
      <rPr>
        <sz val="10"/>
        <rFont val="Noto Sans CJK SC"/>
        <family val="2"/>
      </rPr>
      <t xml:space="preserve">的量化指标（对准误差 ≤ </t>
    </r>
    <r>
      <rPr>
        <sz val="10"/>
        <rFont val="Arial"/>
        <family val="0"/>
        <charset val="1"/>
      </rPr>
      <t xml:space="preserve">±X°</t>
    </r>
    <r>
      <rPr>
        <sz val="10"/>
        <rFont val="Noto Sans CJK SC"/>
        <family val="2"/>
      </rPr>
      <t xml:space="preserve">）不再是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锦上添花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，而是跟踪功能是否成立的判据 —— 数值仍待定</t>
    </r>
  </si>
  <si>
    <t xml:space="preserve">NAV-52</t>
  </si>
  <si>
    <r>
      <rPr>
        <sz val="10"/>
        <rFont val="Noto Sans CJK SC"/>
        <family val="2"/>
      </rPr>
      <t xml:space="preserve">明确待定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现场整定（ </t>
    </r>
    <r>
      <rPr>
        <sz val="10"/>
        <rFont val="Arial"/>
        <family val="0"/>
        <charset val="1"/>
      </rPr>
      <t xml:space="preserve">§0.4a③ —— </t>
    </r>
    <r>
      <rPr>
        <sz val="10"/>
        <rFont val="Noto Sans CJK SC"/>
        <family val="2"/>
      </rPr>
      <t xml:space="preserve">待定期间的实现行为已写死在 </t>
    </r>
    <r>
      <rPr>
        <sz val="10"/>
        <rFont val="Arial"/>
        <family val="0"/>
        <charset val="1"/>
      </rPr>
      <t xml:space="preserve">§0.4a③</t>
    </r>
  </si>
  <si>
    <r>
      <rPr>
        <sz val="10"/>
        <rFont val="Noto Sans CJK SC"/>
        <family val="2"/>
      </rPr>
      <t xml:space="preserve">明确待定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现场整定（ </t>
    </r>
    <r>
      <rPr>
        <sz val="10"/>
        <rFont val="Arial"/>
        <family val="0"/>
        <charset val="1"/>
      </rPr>
      <t xml:space="preserve">§0.4a③ —— </t>
    </r>
    <r>
      <rPr>
        <sz val="10"/>
        <rFont val="Noto Sans CJK SC"/>
        <family val="2"/>
      </rPr>
      <t xml:space="preserve">待定期间的实现行为已写死在 </t>
    </r>
    <r>
      <rPr>
        <sz val="10"/>
        <rFont val="Arial"/>
        <family val="0"/>
        <charset val="1"/>
      </rPr>
      <t xml:space="preserve">§0.4a③</t>
    </r>
    <r>
      <rPr>
        <sz val="10"/>
        <rFont val="Noto Sans CJK SC"/>
        <family val="2"/>
      </rPr>
      <t xml:space="preserve">：配置项 </t>
    </r>
    <r>
      <rPr>
        <sz val="10"/>
        <rFont val="Arial"/>
        <family val="0"/>
        <charset val="1"/>
      </rPr>
      <t xml:space="preserve">follow.yaw_tol_deg </t>
    </r>
    <r>
      <rPr>
        <sz val="10"/>
        <rFont val="Noto Sans CJK SC"/>
        <family val="2"/>
      </rPr>
      <t xml:space="preserve">缺省 </t>
    </r>
    <r>
      <rPr>
        <sz val="10"/>
        <rFont val="Arial"/>
        <family val="0"/>
        <charset val="1"/>
      </rPr>
      <t xml:space="preserve">5.0</t>
    </r>
    <r>
      <rPr>
        <sz val="10"/>
        <rFont val="Noto Sans CJK SC"/>
        <family val="2"/>
      </rPr>
      <t xml:space="preserve">，超差不阻塞运动，只降级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跟踪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承诺； 不得写进本期验收指标）：</t>
    </r>
  </si>
  <si>
    <t xml:space="preserve">NAV-53</t>
  </si>
  <si>
    <t xml:space="preserve">跟随距离保持依赖目标距离估计</t>
  </si>
  <si>
    <r>
      <rPr>
        <sz val="10"/>
        <rFont val="Noto Sans CJK SC"/>
        <family val="2"/>
      </rPr>
      <t xml:space="preserve">跟随距离保持依赖目标距离估计。</t>
    </r>
    <r>
      <rPr>
        <sz val="10"/>
        <rFont val="Arial"/>
        <family val="0"/>
        <charset val="1"/>
      </rPr>
      <t xml:space="preserve">Gemini 336L </t>
    </r>
    <r>
      <rPr>
        <sz val="10"/>
        <rFont val="Noto Sans CJK SC"/>
        <family val="2"/>
      </rPr>
      <t xml:space="preserve">深度量程约 </t>
    </r>
    <r>
      <rPr>
        <sz val="10"/>
        <rFont val="Arial"/>
        <family val="0"/>
        <charset val="1"/>
      </rPr>
      <t xml:space="preserve">10 m</t>
    </r>
    <r>
      <rPr>
        <sz val="10"/>
        <rFont val="Noto Sans CJK SC"/>
        <family val="2"/>
      </rPr>
      <t xml:space="preserve">，超出后需其他手段</t>
    </r>
  </si>
  <si>
    <t xml:space="preserve">NAV-54</t>
  </si>
  <si>
    <r>
      <rPr>
        <sz val="10"/>
        <rFont val="Noto Sans CJK SC"/>
        <family val="2"/>
      </rPr>
      <t xml:space="preserve">目标导向运动是一个独立的运动指令源，与路径导航竞争同一运动资源，须纳入运动仲裁，见 </t>
    </r>
    <r>
      <rPr>
        <sz val="10"/>
        <rFont val="Arial"/>
        <family val="0"/>
        <charset val="1"/>
      </rPr>
      <t xml:space="preserve">CON-01</t>
    </r>
  </si>
  <si>
    <r>
      <rPr>
        <sz val="10"/>
        <rFont val="Arial"/>
        <family val="0"/>
        <charset val="1"/>
      </rPr>
      <t xml:space="preserve">F1 / 3.7 </t>
    </r>
    <r>
      <rPr>
        <sz val="10"/>
        <rFont val="Noto Sans CJK SC"/>
        <family val="2"/>
      </rPr>
      <t xml:space="preserve">急停</t>
    </r>
  </si>
  <si>
    <t xml:space="preserve">NAV-60</t>
  </si>
  <si>
    <t xml:space="preserve">系统提供急停能力，优先级最高，可打断任何任务与任何模式</t>
  </si>
  <si>
    <r>
      <rPr>
        <sz val="10"/>
        <rFont val="Noto Sans CJK SC"/>
        <family val="2"/>
      </rPr>
      <t xml:space="preserve">🟡 未核：急停链路真机未复核（</t>
    </r>
    <r>
      <rPr>
        <sz val="10"/>
        <rFont val="Arial"/>
        <family val="0"/>
        <charset val="1"/>
      </rPr>
      <t xml:space="preserve">chassis_relay </t>
    </r>
    <r>
      <rPr>
        <sz val="10"/>
        <rFont val="Noto Sans CJK SC"/>
        <family val="2"/>
      </rPr>
      <t xml:space="preserve">已在运行）</t>
    </r>
  </si>
  <si>
    <t xml:space="preserve">NAV-61</t>
  </si>
  <si>
    <r>
      <rPr>
        <sz val="10"/>
        <rFont val="Noto Sans CJK SC"/>
        <family val="2"/>
      </rPr>
      <t xml:space="preserve">急停可由 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界面触发（见 </t>
    </r>
    <r>
      <rPr>
        <sz val="10"/>
        <rFont val="Arial"/>
        <family val="0"/>
        <charset val="1"/>
      </rPr>
      <t xml:space="preserve">HMI-20</t>
    </r>
    <r>
      <rPr>
        <sz val="10"/>
        <rFont val="Noto Sans CJK SC"/>
        <family val="2"/>
      </rPr>
      <t xml:space="preserve">）、语音触发（见 </t>
    </r>
    <r>
      <rPr>
        <sz val="10"/>
        <rFont val="Arial"/>
        <family val="0"/>
        <charset val="1"/>
      </rPr>
      <t xml:space="preserve">AI-62</t>
    </r>
    <r>
      <rPr>
        <sz val="10"/>
        <rFont val="Noto Sans CJK SC"/>
        <family val="2"/>
      </rPr>
      <t xml:space="preserve">）</t>
    </r>
  </si>
  <si>
    <t xml:space="preserve">NAV-62</t>
  </si>
  <si>
    <t xml:space="preserve">急停必须走专用最短路径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</si>
  <si>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急停必须走专用最短路径：不进任务队列、不参与常规仲裁排队、直达 </t>
    </r>
    <r>
      <rPr>
        <sz val="10"/>
        <rFont val="Arial"/>
        <family val="0"/>
        <charset val="1"/>
      </rPr>
      <t xml:space="preserve">Tier 1</t>
    </r>
  </si>
  <si>
    <t xml:space="preserve">NAV-63</t>
  </si>
  <si>
    <t xml:space="preserve">软件急停不得作为唯一手段，硬件急停必须存在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</si>
  <si>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软件急停不得作为唯一手段，硬件急停必须存在。</t>
    </r>
    <r>
      <rPr>
        <sz val="10"/>
        <rFont val="Arial"/>
        <family val="0"/>
        <charset val="1"/>
      </rPr>
      <t xml:space="preserve">Web </t>
    </r>
    <r>
      <rPr>
        <sz val="10"/>
        <rFont val="Noto Sans CJK SC"/>
        <family val="2"/>
      </rPr>
      <t xml:space="preserve">急停的物理路径（浏览器→网络→</t>
    </r>
    <r>
      <rPr>
        <sz val="10"/>
        <rFont val="Arial"/>
        <family val="0"/>
        <charset val="1"/>
      </rPr>
      <t xml:space="preserve">Web</t>
    </r>
    <r>
      <rPr>
        <sz val="10"/>
        <rFont val="Noto Sans CJK SC"/>
        <family val="2"/>
      </rPr>
      <t xml:space="preserve">服务→</t>
    </r>
    <r>
      <rPr>
        <sz val="10"/>
        <rFont val="Arial"/>
        <family val="0"/>
        <charset val="1"/>
      </rPr>
      <t xml:space="preserve">Zenoh→</t>
    </r>
    <r>
      <rPr>
        <sz val="10"/>
        <rFont val="Noto Sans CJK SC"/>
        <family val="2"/>
      </rPr>
      <t xml:space="preserve">底盘）任一环失效则按钮失效</t>
    </r>
  </si>
  <si>
    <t xml:space="preserve">NAV-64</t>
  </si>
  <si>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必须显示急停链路健康状态（心跳），链路断开时按钮置灰并明确提示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急停不可用</t>
    </r>
    <r>
      <rPr>
        <sz val="10"/>
        <rFont val="Arial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</si>
  <si>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必须显示急停链路健康状态（心跳），链路断开时按钮置灰并明确提示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急停不可用</t>
    </r>
    <r>
      <rPr>
        <sz val="10"/>
        <rFont val="Arial"/>
        <family val="0"/>
        <charset val="1"/>
      </rPr>
      <t xml:space="preserve">"</t>
    </r>
  </si>
  <si>
    <t xml:space="preserve">NAV-65</t>
  </si>
  <si>
    <r>
      <rPr>
        <sz val="10"/>
        <rFont val="Arial"/>
        <family val="0"/>
        <charset val="1"/>
      </rPr>
      <t xml:space="preserve">Tier 1 </t>
    </r>
    <r>
      <rPr>
        <sz val="10"/>
        <rFont val="Noto Sans CJK SC"/>
        <family val="2"/>
      </rPr>
      <t xml:space="preserve">兜底</t>
    </r>
  </si>
  <si>
    <r>
      <rPr>
        <sz val="10"/>
        <rFont val="Arial"/>
        <family val="0"/>
        <charset val="1"/>
      </rPr>
      <t xml:space="preserve">Tier 1 </t>
    </r>
    <r>
      <rPr>
        <sz val="10"/>
        <rFont val="Noto Sans CJK SC"/>
        <family val="2"/>
      </rPr>
      <t xml:space="preserve">兜底：</t>
    </r>
    <r>
      <rPr>
        <sz val="10"/>
        <rFont val="Arial"/>
        <family val="0"/>
        <charset val="1"/>
      </rPr>
      <t xml:space="preserve">quadruped </t>
    </r>
    <r>
      <rPr>
        <sz val="10"/>
        <rFont val="Noto Sans CJK SC"/>
        <family val="2"/>
      </rPr>
      <t xml:space="preserve">节点必须实现指令超时自动停车 —— </t>
    </r>
    <r>
      <rPr>
        <sz val="10"/>
        <rFont val="Arial"/>
        <family val="0"/>
        <charset val="1"/>
      </rPr>
      <t xml:space="preserve">now - last_cmd.timestamp &gt; 200 ms → </t>
    </r>
    <r>
      <rPr>
        <sz val="10"/>
        <rFont val="Noto Sans CJK SC"/>
        <family val="2"/>
      </rPr>
      <t xml:space="preserve">立即零速并进入锁定态，需显式重新使能方可恢复。此逻辑必须在 </t>
    </r>
    <r>
      <rPr>
        <sz val="10"/>
        <rFont val="Arial"/>
        <family val="0"/>
        <charset val="1"/>
      </rPr>
      <t xml:space="preserve">quadruped </t>
    </r>
    <r>
      <rPr>
        <sz val="10"/>
        <rFont val="Noto Sans CJK SC"/>
        <family val="2"/>
      </rPr>
      <t xml:space="preserve">节点侧（上装侧崩溃时它也会崩溃），且恢复不得自动。 </t>
    </r>
    <r>
      <rPr>
        <sz val="10"/>
        <rFont val="Arial"/>
        <family val="0"/>
        <charset val="1"/>
      </rPr>
      <t xml:space="preserve">quadruped </t>
    </r>
    <r>
      <rPr>
        <sz val="10"/>
        <rFont val="Noto Sans CJK SC"/>
        <family val="2"/>
      </rPr>
      <t xml:space="preserve">尚未实现，可一次做对</t>
    </r>
  </si>
  <si>
    <r>
      <rPr>
        <sz val="10"/>
        <rFont val="Arial"/>
        <family val="0"/>
        <charset val="1"/>
      </rPr>
      <t xml:space="preserve">F1 / 3.8 </t>
    </r>
    <r>
      <rPr>
        <sz val="10"/>
        <rFont val="Noto Sans CJK SC"/>
        <family val="2"/>
      </rPr>
      <t xml:space="preserve">【新】速度与制动</t>
    </r>
  </si>
  <si>
    <t xml:space="preserve">NAV-70a</t>
  </si>
  <si>
    <t xml:space="preserve">无障碍物检测到时</t>
  </si>
  <si>
    <r>
      <rPr>
        <sz val="10"/>
        <rFont val="Noto Sans CJK SC"/>
        <family val="2"/>
      </rPr>
      <t xml:space="preserve">无障碍物检测到时：最快 </t>
    </r>
    <r>
      <rPr>
        <sz val="10"/>
        <rFont val="Arial"/>
        <family val="0"/>
        <charset val="1"/>
      </rPr>
      <t xml:space="preserve">1.0 – 2.0 m/s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规则 ①）</t>
    </r>
  </si>
  <si>
    <r>
      <rPr>
        <sz val="10"/>
        <rFont val="Noto Sans CJK SC"/>
        <family val="2"/>
      </rPr>
      <t xml:space="preserve">🟡 速度门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限幅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旋转许可有代码与单测，真机未验</t>
    </r>
  </si>
  <si>
    <t xml:space="preserve">NAV-70b</t>
  </si>
  <si>
    <t xml:space="preserve">检测到障碍物时</t>
  </si>
  <si>
    <r>
      <rPr>
        <sz val="10"/>
        <rFont val="Noto Sans CJK SC"/>
        <family val="2"/>
      </rPr>
      <t xml:space="preserve">检测到障碍物时：最快速度控制在 </t>
    </r>
    <r>
      <rPr>
        <sz val="10"/>
        <rFont val="Arial"/>
        <family val="0"/>
        <charset val="1"/>
      </rPr>
      <t xml:space="preserve">0.2 – 0.5 m/s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规则 ②）</t>
    </r>
  </si>
  <si>
    <t xml:space="preserve">NAV-70c</t>
  </si>
  <si>
    <r>
      <rPr>
        <sz val="10"/>
        <rFont val="Noto Sans CJK SC"/>
        <family val="2"/>
      </rPr>
      <t xml:space="preserve">机器人与障碍物的安全距离 </t>
    </r>
    <r>
      <rPr>
        <sz val="10"/>
        <rFont val="Arial"/>
        <family val="0"/>
        <charset val="1"/>
      </rPr>
      <t xml:space="preserve">1.0 m —— </t>
    </r>
    <r>
      <rPr>
        <sz val="10"/>
        <rFont val="Noto Sans CJK SC"/>
        <family val="2"/>
      </rPr>
      <t xml:space="preserve">避障与绕障都要保持（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规则 ③）</t>
    </r>
  </si>
  <si>
    <r>
      <rPr>
        <sz val="10"/>
        <rFont val="Noto Sans CJK SC"/>
        <family val="2"/>
      </rPr>
      <t xml:space="preserve">机器人与障碍物的安全距离 </t>
    </r>
    <r>
      <rPr>
        <sz val="10"/>
        <rFont val="Arial"/>
        <family val="0"/>
        <charset val="1"/>
      </rPr>
      <t xml:space="preserve">1.0 m —— </t>
    </r>
    <r>
      <rPr>
        <sz val="10"/>
        <rFont val="Noto Sans CJK SC"/>
        <family val="2"/>
      </rPr>
      <t xml:space="preserve">避障与绕障都要保持（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规则 ③）。
 本条是单向约束：机器人自身的运动不得使间距小于 </t>
    </r>
    <r>
      <rPr>
        <sz val="10"/>
        <rFont val="Arial"/>
        <family val="0"/>
        <charset val="1"/>
      </rPr>
      <t xml:space="preserve">1.0 m</t>
    </r>
    <r>
      <rPr>
        <sz val="10"/>
        <rFont val="Noto Sans CJK SC"/>
        <family val="2"/>
      </rPr>
      <t xml:space="preserve">。障碍物主动接近导致间距小于 </t>
    </r>
    <r>
      <rPr>
        <sz val="10"/>
        <rFont val="Arial"/>
        <family val="0"/>
        <charset val="1"/>
      </rPr>
      <t xml:space="preserve">1.0 m </t>
    </r>
    <r>
      <rPr>
        <sz val="10"/>
        <rFont val="Noto Sans CJK SC"/>
        <family val="2"/>
      </rPr>
      <t xml:space="preserve">时，机器人保持零速、不后退；若判为可疑则按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模式报警喊话（</t>
    </r>
    <r>
      <rPr>
        <sz val="10"/>
        <rFont val="Arial"/>
        <family val="0"/>
        <charset val="1"/>
      </rPr>
      <t xml:space="preserve">VOI-40~44</t>
    </r>
    <r>
      <rPr>
        <sz val="10"/>
        <rFont val="Noto Sans CJK SC"/>
        <family val="2"/>
      </rPr>
      <t xml:space="preserve">）。
 明确排除：不要求机器人主动退让以恢复间距。 五条失效分析见 </t>
    </r>
    <r>
      <rPr>
        <sz val="10"/>
        <rFont val="Arial"/>
        <family val="0"/>
        <charset val="1"/>
      </rPr>
      <t xml:space="preserve">99 U54</t>
    </r>
    <r>
      <rPr>
        <sz val="10"/>
        <rFont val="Noto Sans CJK SC"/>
        <family val="2"/>
      </rPr>
      <t xml:space="preserve">（后向无感知覆盖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倒车翻转航向 </t>
    </r>
    <r>
      <rPr>
        <sz val="10"/>
        <rFont val="Arial"/>
        <family val="0"/>
        <charset val="1"/>
      </rPr>
      <t xml:space="preserve">180° · </t>
    </r>
    <r>
      <rPr>
        <sz val="10"/>
        <rFont val="Noto Sans CJK SC"/>
        <family val="2"/>
      </rPr>
      <t xml:space="preserve">观感追逼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夹缝里逻辑无解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双向会让示教录制在窄通道做不了）</t>
    </r>
  </si>
  <si>
    <t xml:space="preserve">NAV-72</t>
  </si>
  <si>
    <r>
      <rPr>
        <sz val="10"/>
        <rFont val="Noto Sans CJK SC"/>
        <family val="2"/>
      </rPr>
      <t xml:space="preserve">速度两档（</t>
    </r>
    <r>
      <rPr>
        <sz val="10"/>
        <rFont val="Arial"/>
        <family val="0"/>
        <charset val="1"/>
      </rPr>
      <t xml:space="preserve">U33 </t>
    </r>
    <r>
      <rPr>
        <sz val="10"/>
        <rFont val="Noto Sans CJK SC"/>
        <family val="2"/>
      </rPr>
      <t xml:space="preserve">删除 </t>
    </r>
    <r>
      <rPr>
        <sz val="10"/>
        <rFont val="Arial"/>
        <family val="0"/>
        <charset val="1"/>
      </rPr>
      <t xml:space="preserve">cruise/transit </t>
    </r>
    <r>
      <rPr>
        <sz val="10"/>
        <rFont val="Noto Sans CJK SC"/>
        <family val="2"/>
      </rPr>
      <t xml:space="preserve">的结构沿用，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重定义区间）</t>
    </r>
  </si>
  <si>
    <r>
      <rPr>
        <sz val="10"/>
        <rFont val="Noto Sans CJK SC"/>
        <family val="2"/>
      </rPr>
      <t xml:space="preserve">速度两档（</t>
    </r>
    <r>
      <rPr>
        <sz val="10"/>
        <rFont val="Arial"/>
        <family val="0"/>
        <charset val="1"/>
      </rPr>
      <t xml:space="preserve">U33 </t>
    </r>
    <r>
      <rPr>
        <sz val="10"/>
        <rFont val="Noto Sans CJK SC"/>
        <family val="2"/>
      </rPr>
      <t xml:space="preserve">删除 </t>
    </r>
    <r>
      <rPr>
        <sz val="10"/>
        <rFont val="Arial"/>
        <family val="0"/>
        <charset val="1"/>
      </rPr>
      <t xml:space="preserve">cruise/transit </t>
    </r>
    <r>
      <rPr>
        <sz val="10"/>
        <rFont val="Noto Sans CJK SC"/>
        <family val="2"/>
      </rPr>
      <t xml:space="preserve">的结构沿用，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重定义区间）：</t>
    </r>
  </si>
  <si>
    <t xml:space="preserve">NAV-72a</t>
  </si>
  <si>
    <r>
      <rPr>
        <sz val="10"/>
        <rFont val="Noto Sans CJK SC"/>
        <family val="2"/>
      </rPr>
      <t xml:space="preserve">档位是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请求上限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，速度门是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授权上限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，实际速度取二者之 </t>
    </r>
    <r>
      <rPr>
        <sz val="10"/>
        <rFont val="Arial"/>
        <family val="0"/>
        <charset val="1"/>
      </rPr>
      <t xml:space="preserve">min</t>
    </r>
  </si>
  <si>
    <r>
      <rPr>
        <sz val="10"/>
        <rFont val="Noto Sans CJK SC"/>
        <family val="2"/>
      </rPr>
      <t xml:space="preserve">档位是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请求上限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，速度门是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授权上限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，实际速度取二者之 </t>
    </r>
    <r>
      <rPr>
        <sz val="10"/>
        <rFont val="Arial"/>
        <family val="0"/>
        <charset val="1"/>
      </rPr>
      <t xml:space="preserve">min</t>
    </r>
    <r>
      <rPr>
        <sz val="10"/>
        <rFont val="Noto Sans CJK SC"/>
        <family val="2"/>
      </rPr>
      <t xml:space="preserve">。 档位只能降速，不能突破感知授权</t>
    </r>
  </si>
  <si>
    <t xml:space="preserve">NAV-72b</t>
  </si>
  <si>
    <r>
      <rPr>
        <sz val="10"/>
        <rFont val="Noto Sans CJK SC"/>
        <family val="2"/>
      </rPr>
      <t xml:space="preserve">各档位有准入条件（所需可靠感知距离、传感器要求、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质量），不满足则自动降档</t>
    </r>
  </si>
  <si>
    <r>
      <rPr>
        <sz val="10"/>
        <rFont val="Noto Sans CJK SC"/>
        <family val="2"/>
      </rPr>
      <t xml:space="preserve">各档位有准入条件（所需可靠感知距离、传感器要求、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质量），不满足则自动降档。详见 </t>
    </r>
    <r>
      <rPr>
        <sz val="10"/>
        <rFont val="Arial"/>
        <family val="0"/>
        <charset val="1"/>
      </rPr>
      <t xml:space="preserve">11-</t>
    </r>
    <r>
      <rPr>
        <sz val="10"/>
        <rFont val="Noto Sans CJK SC"/>
        <family val="2"/>
      </rPr>
      <t xml:space="preserve">接口契约 </t>
    </r>
    <r>
      <rPr>
        <sz val="10"/>
        <rFont val="Arial"/>
        <family val="0"/>
        <charset val="1"/>
      </rPr>
      <t xml:space="preserve">§9.6.1</t>
    </r>
  </si>
  <si>
    <t xml:space="preserve">NAV-72d</t>
  </si>
  <si>
    <r>
      <rPr>
        <sz val="10"/>
        <rFont val="Arial"/>
        <family val="0"/>
        <charset val="1"/>
      </rPr>
      <t xml:space="preserve">f(d_free) </t>
    </r>
    <r>
      <rPr>
        <sz val="10"/>
        <rFont val="Noto Sans CJK SC"/>
        <family val="2"/>
      </rPr>
      <t xml:space="preserve">四段定标（</t>
    </r>
    <r>
      <rPr>
        <sz val="10"/>
        <rFont val="Arial"/>
        <family val="0"/>
        <charset val="1"/>
      </rPr>
      <t xml:space="preserve">U54</t>
    </r>
  </si>
  <si>
    <r>
      <rPr>
        <sz val="10"/>
        <rFont val="Arial"/>
        <family val="0"/>
        <charset val="1"/>
      </rPr>
      <t xml:space="preserve">f(d_free) </t>
    </r>
    <r>
      <rPr>
        <sz val="10"/>
        <rFont val="Noto Sans CJK SC"/>
        <family val="2"/>
      </rPr>
      <t xml:space="preserve">四段定标（</t>
    </r>
    <r>
      <rPr>
        <sz val="10"/>
        <rFont val="Arial"/>
        <family val="0"/>
        <charset val="1"/>
      </rPr>
      <t xml:space="preserve">U54</t>
    </r>
    <r>
      <rPr>
        <sz val="10"/>
        <rFont val="Noto Sans CJK SC"/>
        <family val="2"/>
      </rPr>
      <t xml:space="preserve">； 速度门结构不变，只重定标 —— 用户三条规则完美映射到现有 </t>
    </r>
    <r>
      <rPr>
        <sz val="10"/>
        <rFont val="Arial"/>
        <family val="0"/>
        <charset val="1"/>
      </rPr>
      <t xml:space="preserve">min() </t>
    </r>
    <r>
      <rPr>
        <sz val="10"/>
        <rFont val="Noto Sans CJK SC"/>
        <family val="2"/>
      </rPr>
      <t xml:space="preserve">公式，</t>
    </r>
    <r>
      <rPr>
        <sz val="10"/>
        <rFont val="Arial"/>
        <family val="0"/>
        <charset val="1"/>
      </rPr>
      <t xml:space="preserve">F-19 </t>
    </r>
    <r>
      <rPr>
        <sz val="10"/>
        <rFont val="Noto Sans CJK SC"/>
        <family val="2"/>
      </rPr>
      <t xml:space="preserve">冻结面无需变更）：
</t>
    </r>
    <r>
      <rPr>
        <sz val="10"/>
        <rFont val="Arial"/>
        <family val="0"/>
        <charset val="1"/>
      </rPr>
      <t xml:space="preserve">d_free ≥ 3.0 m → 2.0 m/s
1.8 – 3.0 m → 0.5 m/s
1.25 – 1.8 m → 0.2 m/s
&lt; 1.25 m → 0</t>
    </r>
    <r>
      <rPr>
        <sz val="10"/>
        <rFont val="Noto Sans CJK SC"/>
        <family val="2"/>
      </rPr>
      <t xml:space="preserve">（停车。</t>
    </r>
    <r>
      <rPr>
        <sz val="10"/>
        <rFont val="Arial"/>
        <family val="0"/>
        <charset val="1"/>
      </rPr>
      <t xml:space="preserve">1.0 m </t>
    </r>
    <r>
      <rPr>
        <sz val="10"/>
        <rFont val="Noto Sans CJK SC"/>
        <family val="2"/>
      </rPr>
      <t xml:space="preserve">安全距离 ＋ </t>
    </r>
    <r>
      <rPr>
        <sz val="10"/>
        <rFont val="Arial"/>
        <family val="0"/>
        <charset val="1"/>
      </rPr>
      <t xml:space="preserve">0.25 m </t>
    </r>
    <r>
      <rPr>
        <sz val="10"/>
        <rFont val="Noto Sans CJK SC"/>
        <family val="2"/>
      </rPr>
      <t xml:space="preserve">制动余量）
 迟滞：降到慢档 </t>
    </r>
    <r>
      <rPr>
        <sz val="10"/>
        <rFont val="Arial"/>
        <family val="0"/>
        <charset val="1"/>
      </rPr>
      <t xml:space="preserve">d_free &lt; 3.0 m </t>
    </r>
    <r>
      <rPr>
        <sz val="10"/>
        <rFont val="Noto Sans CJK SC"/>
        <family val="2"/>
      </rPr>
      <t xml:space="preserve">立即；升回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需 </t>
    </r>
    <r>
      <rPr>
        <sz val="10"/>
        <rFont val="Arial"/>
        <family val="0"/>
        <charset val="1"/>
      </rPr>
      <t xml:space="preserve">d_free ≥ 3.5 m </t>
    </r>
    <r>
      <rPr>
        <sz val="10"/>
        <rFont val="Noto Sans CJK SC"/>
        <family val="2"/>
      </rPr>
      <t xml:space="preserve">且持续 </t>
    </r>
    <r>
      <rPr>
        <sz val="10"/>
        <rFont val="Arial"/>
        <family val="0"/>
        <charset val="1"/>
      </rPr>
      <t xml:space="preserve">T_up = 3.0 s</t>
    </r>
    <r>
      <rPr>
        <sz val="10"/>
        <rFont val="Noto Sans CJK SC"/>
        <family val="2"/>
      </rPr>
      <t xml:space="preserve">（降速从宽、升速从严，与 </t>
    </r>
    <r>
      <rPr>
        <sz val="10"/>
        <rFont val="Arial"/>
        <family val="0"/>
        <charset val="1"/>
      </rPr>
      <t xml:space="preserve">U-35</t>
    </r>
    <r>
      <rPr>
        <sz val="10"/>
        <rFont val="Noto Sans CJK SC"/>
        <family val="2"/>
      </rPr>
      <t xml:space="preserve">「漏报容忍度更低」同向）</t>
    </r>
  </si>
  <si>
    <t xml:space="preserve">NAV-72c</t>
  </si>
  <si>
    <r>
      <rPr>
        <sz val="10"/>
        <rFont val="Noto Sans CJK SC"/>
        <family val="2"/>
      </rPr>
      <t xml:space="preserve">由制动距离反推的硬结论（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全面重算）</t>
    </r>
  </si>
  <si>
    <r>
      <rPr>
        <sz val="10"/>
        <rFont val="Noto Sans CJK SC"/>
        <family val="2"/>
      </rPr>
      <t xml:space="preserve">由制动距离反推的硬结论（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全面重算）：
 急停链路时延首次有依据 —— 我方检测 </t>
    </r>
    <r>
      <rPr>
        <sz val="10"/>
        <rFont val="Arial"/>
        <family val="0"/>
        <charset val="1"/>
      </rPr>
      <t xml:space="preserve">200 ms </t>
    </r>
    <r>
      <rPr>
        <sz val="10"/>
        <rFont val="Noto Sans CJK SC"/>
        <family val="2"/>
      </rPr>
      <t xml:space="preserve">＋ 底盘链路 </t>
    </r>
    <r>
      <rPr>
        <sz val="10"/>
        <rFont val="Arial"/>
        <family val="0"/>
        <charset val="1"/>
      </rPr>
      <t xml:space="preserve">50–200 ms</t>
    </r>
    <r>
      <rPr>
        <sz val="10"/>
        <rFont val="Noto Sans CJK SC"/>
        <family val="2"/>
      </rPr>
      <t xml:space="preserve">（云深处答「软急停响应 </t>
    </r>
    <r>
      <rPr>
        <sz val="10"/>
        <rFont val="Arial"/>
        <family val="0"/>
        <charset val="1"/>
      </rPr>
      <t xml:space="preserve">50~200 ms </t>
    </r>
    <r>
      <rPr>
        <sz val="10"/>
        <rFont val="Noto Sans CJK SC"/>
        <family val="2"/>
      </rPr>
      <t xml:space="preserve">量级」）＝ </t>
    </r>
    <r>
      <rPr>
        <sz val="10"/>
        <rFont val="Arial"/>
        <family val="0"/>
        <charset val="1"/>
      </rPr>
      <t xml:space="preserve">400 ms </t>
    </r>
    <r>
      <rPr>
        <sz val="10"/>
        <rFont val="Noto Sans CJK SC"/>
        <family val="2"/>
      </rPr>
      <t xml:space="preserve">上界
① 以 </t>
    </r>
    <r>
      <rPr>
        <sz val="10"/>
        <rFont val="Arial"/>
        <family val="0"/>
        <charset val="1"/>
      </rPr>
      <t xml:space="preserve">2 m/s </t>
    </r>
    <r>
      <rPr>
        <sz val="10"/>
        <rFont val="Noto Sans CJK SC"/>
        <family val="2"/>
      </rPr>
      <t xml:space="preserve">行进时，即使急停也刹不住 </t>
    </r>
    <r>
      <rPr>
        <sz val="10"/>
        <rFont val="Arial"/>
        <family val="0"/>
        <charset val="1"/>
      </rPr>
      <t xml:space="preserve">1 m </t>
    </r>
    <r>
      <rPr>
        <sz val="10"/>
        <rFont val="Noto Sans CJK SC"/>
        <family val="2"/>
      </rPr>
      <t xml:space="preserve">安全距离 —— </t>
    </r>
    <r>
      <rPr>
        <sz val="10"/>
        <rFont val="Arial"/>
        <family val="0"/>
        <charset val="1"/>
      </rPr>
      <t xml:space="preserve">d(2.0) = 2.0×0.4 + 4/5 = 1.60 m &gt; 1.0 m</t>
    </r>
    <r>
      <rPr>
        <sz val="10"/>
        <rFont val="Noto Sans CJK SC"/>
        <family val="2"/>
      </rPr>
      <t xml:space="preserve">。 这正是 </t>
    </r>
    <r>
      <rPr>
        <sz val="10"/>
        <rFont val="Arial"/>
        <family val="0"/>
        <charset val="1"/>
      </rPr>
      <t xml:space="preserve">NAV-70b </t>
    </r>
    <r>
      <rPr>
        <sz val="10"/>
        <rFont val="Noto Sans CJK SC"/>
        <family val="2"/>
      </rPr>
      <t xml:space="preserve">降速规则存在的理由
② 降速必须在障碍物 </t>
    </r>
    <r>
      <rPr>
        <sz val="10"/>
        <rFont val="Arial"/>
        <family val="0"/>
        <charset val="1"/>
      </rPr>
      <t xml:space="preserve">1 m </t>
    </r>
    <r>
      <rPr>
        <sz val="10"/>
        <rFont val="Noto Sans CJK SC"/>
        <family val="2"/>
      </rPr>
      <t xml:space="preserve">外完成 —— 从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降到 </t>
    </r>
    <r>
      <rPr>
        <sz val="10"/>
        <rFont val="Arial"/>
        <family val="0"/>
        <charset val="1"/>
      </rPr>
      <t xml:space="preserve">0.5 </t>
    </r>
    <r>
      <rPr>
        <sz val="10"/>
        <rFont val="Noto Sans CJK SC"/>
        <family val="2"/>
      </rPr>
      <t xml:space="preserve">需 </t>
    </r>
    <r>
      <rPr>
        <sz val="10"/>
        <rFont val="Arial"/>
        <family val="0"/>
        <charset val="1"/>
      </rPr>
      <t xml:space="preserve">0.80</t>
    </r>
    <r>
      <rPr>
        <sz val="10"/>
        <rFont val="Noto Sans CJK SC"/>
        <family val="2"/>
      </rPr>
      <t xml:space="preserve">（反应）</t>
    </r>
    <r>
      <rPr>
        <sz val="10"/>
        <rFont val="Arial"/>
        <family val="0"/>
        <charset val="1"/>
      </rPr>
      <t xml:space="preserve">+ 0.75</t>
    </r>
    <r>
      <rPr>
        <sz val="10"/>
        <rFont val="Noto Sans CJK SC"/>
        <family val="2"/>
      </rPr>
      <t xml:space="preserve">（减速）</t>
    </r>
    <r>
      <rPr>
        <sz val="10"/>
        <rFont val="Arial"/>
        <family val="0"/>
        <charset val="1"/>
      </rPr>
      <t xml:space="preserve">= 1.55 m</t>
    </r>
    <r>
      <rPr>
        <sz val="10"/>
        <rFont val="Noto Sans CJK SC"/>
        <family val="2"/>
      </rPr>
      <t xml:space="preserve">，＋ </t>
    </r>
    <r>
      <rPr>
        <sz val="10"/>
        <rFont val="Arial"/>
        <family val="0"/>
        <charset val="1"/>
      </rPr>
      <t xml:space="preserve">1.0 m </t>
    </r>
    <r>
      <rPr>
        <sz val="10"/>
        <rFont val="Noto Sans CJK SC"/>
        <family val="2"/>
      </rPr>
      <t xml:space="preserve">安全距离 ⇒ </t>
    </r>
    <r>
      <rPr>
        <sz val="10"/>
        <rFont val="Arial"/>
        <family val="0"/>
        <charset val="1"/>
      </rPr>
      <t xml:space="preserve">D_slow = 3.0 m</t>
    </r>
    <r>
      <rPr>
        <sz val="10"/>
        <rFont val="Noto Sans CJK SC"/>
        <family val="2"/>
      </rPr>
      <t xml:space="preserve">（含裕度）
③ </t>
    </r>
    <r>
      <rPr>
        <sz val="10"/>
        <rFont val="Arial"/>
        <family val="0"/>
        <charset val="1"/>
      </rPr>
      <t xml:space="preserve">LiDAR </t>
    </r>
    <r>
      <rPr>
        <sz val="10"/>
        <rFont val="Noto Sans CJK SC"/>
        <family val="2"/>
      </rPr>
      <t xml:space="preserve">从「必需」变成「增强」 —— </t>
    </r>
    <r>
      <rPr>
        <sz val="10"/>
        <rFont val="Arial"/>
        <family val="0"/>
        <charset val="1"/>
      </rPr>
      <t xml:space="preserve">D_slow = 3.0 m </t>
    </r>
    <r>
      <rPr>
        <sz val="10"/>
        <rFont val="Noto Sans CJK SC"/>
        <family val="2"/>
      </rPr>
      <t xml:space="preserve">而 </t>
    </r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有效 </t>
    </r>
    <r>
      <rPr>
        <sz val="10"/>
        <rFont val="Arial"/>
        <family val="0"/>
        <charset val="1"/>
      </rPr>
      <t xml:space="preserve">6–8 m </t>
    </r>
    <r>
      <rPr>
        <sz val="10"/>
        <rFont val="Noto Sans CJK SC"/>
        <family val="2"/>
      </rPr>
      <t xml:space="preserve">单独就够。原结论「</t>
    </r>
    <r>
      <rPr>
        <sz val="10"/>
        <rFont val="Arial"/>
        <family val="0"/>
        <charset val="1"/>
      </rPr>
      <t xml:space="preserve">patrol </t>
    </r>
    <r>
      <rPr>
        <sz val="10"/>
        <rFont val="Noto Sans CJK SC"/>
        <family val="2"/>
      </rPr>
      <t xml:space="preserve">档依赖 </t>
    </r>
    <r>
      <rPr>
        <sz val="10"/>
        <rFont val="Arial"/>
        <family val="0"/>
        <charset val="1"/>
      </rPr>
      <t xml:space="preserve">LiDAR</t>
    </r>
    <r>
      <rPr>
        <sz val="10"/>
        <rFont val="Noto Sans CJK SC"/>
        <family val="2"/>
      </rPr>
      <t xml:space="preserve">，非可选项」作废。 </t>
    </r>
    <r>
      <rPr>
        <sz val="10"/>
        <rFont val="Arial"/>
        <family val="0"/>
        <charset val="1"/>
      </rPr>
      <t xml:space="preserve">LiDAR </t>
    </r>
    <r>
      <rPr>
        <sz val="10"/>
        <rFont val="Noto Sans CJK SC"/>
        <family val="2"/>
      </rPr>
      <t xml:space="preserve">仍为 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栅格绕障与多方向自由空间所需，但那是另一条理由
④ 早已作废（</t>
    </r>
    <r>
      <rPr>
        <sz val="10"/>
        <rFont val="Arial"/>
        <family val="0"/>
        <charset val="1"/>
      </rPr>
      <t xml:space="preserve">U33</t>
    </r>
    <r>
      <rPr>
        <sz val="10"/>
        <rFont val="Noto Sans CJK SC"/>
        <family val="2"/>
      </rPr>
      <t xml:space="preserve">），现指标 ≥ </t>
    </r>
    <r>
      <rPr>
        <sz val="10"/>
        <rFont val="Arial"/>
        <family val="0"/>
        <charset val="1"/>
      </rPr>
      <t xml:space="preserve">3.0 m</t>
    </r>
  </si>
  <si>
    <t xml:space="preserve">NAV-73</t>
  </si>
  <si>
    <t xml:space="preserve">最大制动减速度</t>
  </si>
  <si>
    <r>
      <rPr>
        <sz val="10"/>
        <rFont val="Noto Sans CJK SC"/>
        <family val="2"/>
      </rPr>
      <t xml:space="preserve">最大制动减速度：转我方实测（</t>
    </r>
    <r>
      <rPr>
        <sz val="10"/>
        <rFont val="Arial"/>
        <family val="0"/>
        <charset val="1"/>
      </rPr>
      <t xml:space="preserve">T-DECEL</t>
    </r>
    <r>
      <rPr>
        <sz val="10"/>
        <rFont val="Noto Sans CJK SC"/>
        <family val="2"/>
      </rPr>
      <t xml:space="preserve">； ＝ </t>
    </r>
    <r>
      <rPr>
        <sz val="10"/>
        <rFont val="Arial"/>
        <family val="0"/>
        <charset val="1"/>
      </rPr>
      <t xml:space="preserve">M-22</t>
    </r>
    <r>
      <rPr>
        <sz val="10"/>
        <rFont val="Noto Sans CJK SC"/>
        <family val="2"/>
      </rPr>
      <t xml:space="preserve">，编号终裁见 </t>
    </r>
    <r>
      <rPr>
        <sz val="10"/>
        <rFont val="Arial"/>
        <family val="0"/>
        <charset val="1"/>
      </rPr>
      <t xml:space="preserve">§0.2</t>
    </r>
    <r>
      <rPr>
        <sz val="10"/>
        <rFont val="Noto Sans CJK SC"/>
        <family val="2"/>
      </rPr>
      <t xml:space="preserve">）。云深处 </t>
    </r>
    <r>
      <rPr>
        <sz val="10"/>
        <rFont val="Arial"/>
        <family val="0"/>
        <charset val="1"/>
      </rPr>
      <t xml:space="preserve">2026-07-30 </t>
    </r>
    <r>
      <rPr>
        <sz val="10"/>
        <rFont val="Noto Sans CJK SC"/>
        <family val="2"/>
      </rPr>
      <t xml:space="preserve">明确答「未测试过最大同时稳定的制动减速度，如关注该项指标可自行测试」⇒ 永远等不到答复，原 </t>
    </r>
    <r>
      <rPr>
        <sz val="10"/>
        <rFont val="Arial"/>
        <family val="0"/>
        <charset val="1"/>
      </rPr>
      <t xml:space="preserve">V-01/Q16a </t>
    </r>
    <r>
      <rPr>
        <sz val="10"/>
        <rFont val="Noto Sans CJK SC"/>
        <family val="2"/>
      </rPr>
      <t xml:space="preserve">关闭并转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类。
 当前工作假设 </t>
    </r>
    <r>
      <rPr>
        <sz val="10"/>
        <rFont val="Arial"/>
        <family val="0"/>
        <charset val="1"/>
      </rPr>
      <t xml:space="preserve">2.5 m/s²</t>
    </r>
    <r>
      <rPr>
        <sz val="10"/>
        <rFont val="Noto Sans CJK SC"/>
        <family val="2"/>
      </rPr>
      <t xml:space="preserve">，在 </t>
    </r>
    <r>
      <rPr>
        <sz val="10"/>
        <rFont val="Arial"/>
        <family val="0"/>
        <charset val="1"/>
      </rPr>
      <t xml:space="preserve">2 m/s </t>
    </r>
    <r>
      <rPr>
        <sz val="10"/>
        <rFont val="Noto Sans CJK SC"/>
        <family val="2"/>
      </rPr>
      <t xml:space="preserve">下很可能偏保守。
 敏感性（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重算并订正）：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2.0–3.0 </t>
    </r>
    <r>
      <rPr>
        <sz val="10"/>
        <rFont val="Noto Sans CJK SC"/>
        <family val="2"/>
      </rPr>
      <t xml:space="preserve">之间变化时，</t>
    </r>
    <r>
      <rPr>
        <sz val="10"/>
        <rFont val="Arial"/>
        <family val="0"/>
        <charset val="1"/>
      </rPr>
      <t xml:space="preserve">D_slow </t>
    </r>
    <r>
      <rPr>
        <sz val="10"/>
        <rFont val="Noto Sans CJK SC"/>
        <family val="2"/>
      </rPr>
      <t xml:space="preserve">需求为 </t>
    </r>
    <r>
      <rPr>
        <sz val="10"/>
        <rFont val="Arial"/>
        <family val="0"/>
        <charset val="1"/>
      </rPr>
      <t xml:space="preserve">2.4 – 2.7 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a=2.0 → 2.74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a=2.5 → 2.55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a=3.0 → 2.43</t>
    </r>
    <r>
      <rPr>
        <sz val="10"/>
        <rFont val="Noto Sans CJK SC"/>
        <family val="2"/>
      </rPr>
      <t xml:space="preserve">）， 选定的 </t>
    </r>
    <r>
      <rPr>
        <sz val="10"/>
        <rFont val="Arial"/>
        <family val="0"/>
        <charset val="1"/>
      </rPr>
      <t xml:space="preserve">D_slow = 3.0 m </t>
    </r>
    <r>
      <rPr>
        <sz val="10"/>
        <rFont val="Noto Sans CJK SC"/>
        <family val="2"/>
      </rPr>
      <t xml:space="preserve">在最悲观端仍有 </t>
    </r>
    <r>
      <rPr>
        <sz val="10"/>
        <rFont val="Arial"/>
        <family val="0"/>
        <charset val="1"/>
      </rPr>
      <t xml:space="preserve">0.26 m </t>
    </r>
    <r>
      <rPr>
        <sz val="10"/>
        <rFont val="Noto Sans CJK SC"/>
        <family val="2"/>
      </rPr>
      <t xml:space="preserve">裕度，</t>
    </r>
    <r>
      <rPr>
        <sz val="10"/>
        <rFont val="Arial"/>
        <family val="0"/>
        <charset val="1"/>
      </rPr>
      <t xml:space="preserve">336L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6–8 m</t>
    </r>
    <r>
      <rPr>
        <sz val="10"/>
        <rFont val="Noto Sans CJK SC"/>
        <family val="2"/>
      </rPr>
      <t xml:space="preserve">）全覆盖 ⇒ 不再是选型风险。
 作废 —— 两个端点都无法用本文 </t>
    </r>
    <r>
      <rPr>
        <sz val="10"/>
        <rFont val="Arial"/>
        <family val="0"/>
        <charset val="1"/>
      </rPr>
      <t xml:space="preserve">§3.8.2 </t>
    </r>
    <r>
      <rPr>
        <sz val="10"/>
        <rFont val="Noto Sans CJK SC"/>
        <family val="2"/>
      </rPr>
      <t xml:space="preserve">的公式复现，且上端 </t>
    </r>
    <r>
      <rPr>
        <sz val="10"/>
        <rFont val="Arial"/>
        <family val="0"/>
        <charset val="1"/>
      </rPr>
      <t xml:space="preserve">3.4 m &gt; </t>
    </r>
    <r>
      <rPr>
        <sz val="10"/>
        <rFont val="Noto Sans CJK SC"/>
        <family val="2"/>
      </rPr>
      <t xml:space="preserve">选定的 </t>
    </r>
    <r>
      <rPr>
        <sz val="10"/>
        <rFont val="Arial"/>
        <family val="0"/>
        <charset val="1"/>
      </rPr>
      <t xml:space="preserve">3.0 m</t>
    </r>
    <r>
      <rPr>
        <sz val="10"/>
        <rFont val="Noto Sans CJK SC"/>
        <family val="2"/>
      </rPr>
      <t xml:space="preserve">，等于用一个自己写下的数字否定了紧接着的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全区间覆盖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结论。 复算见 </t>
    </r>
    <r>
      <rPr>
        <sz val="10"/>
        <rFont val="Arial"/>
        <family val="0"/>
        <charset val="1"/>
      </rPr>
      <t xml:space="preserve">§3.8.2 </t>
    </r>
    <r>
      <rPr>
        <sz val="10"/>
        <rFont val="Noto Sans CJK SC"/>
        <family val="2"/>
      </rPr>
      <t xml:space="preserve">与 附录 </t>
    </r>
    <r>
      <rPr>
        <sz val="10"/>
        <rFont val="Arial"/>
        <family val="0"/>
        <charset val="1"/>
      </rPr>
      <t xml:space="preserve">B.2</t>
    </r>
  </si>
  <si>
    <t xml:space="preserve">NAV-73b</t>
  </si>
  <si>
    <r>
      <rPr>
        <sz val="10"/>
        <rFont val="Noto Sans CJK SC"/>
        <family val="2"/>
      </rPr>
      <t xml:space="preserve">已答复（</t>
    </r>
    <r>
      <rPr>
        <sz val="10"/>
        <rFont val="Arial"/>
        <family val="0"/>
        <charset val="1"/>
      </rPr>
      <t xml:space="preserve">2026-07-30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</si>
  <si>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已答复（</t>
    </r>
    <r>
      <rPr>
        <sz val="10"/>
        <rFont val="Arial"/>
        <family val="0"/>
        <charset val="1"/>
      </rPr>
      <t xml:space="preserve">2026-07-30</t>
    </r>
    <r>
      <rPr>
        <sz val="10"/>
        <rFont val="Noto Sans CJK SC"/>
        <family val="2"/>
      </rPr>
      <t xml:space="preserve">）：各步态实际最大速度 </t>
    </r>
    <r>
      <rPr>
        <sz val="10"/>
        <rFont val="Arial"/>
        <family val="0"/>
        <charset val="1"/>
      </rPr>
      <t xml:space="preserve">2 m/s</t>
    </r>
    <r>
      <rPr>
        <sz val="10"/>
        <rFont val="Noto Sans CJK SC"/>
        <family val="2"/>
      </rPr>
      <t xml:space="preserve">，不支持 </t>
    </r>
    <r>
      <rPr>
        <sz val="10"/>
        <rFont val="Arial"/>
        <family val="0"/>
        <charset val="1"/>
      </rPr>
      <t xml:space="preserve">9 m/s</t>
    </r>
    <r>
      <rPr>
        <sz val="10"/>
        <rFont val="Noto Sans CJK SC"/>
        <family val="2"/>
      </rPr>
      <t xml:space="preserve">。 </t>
    </r>
    <r>
      <rPr>
        <sz val="10"/>
        <rFont val="Arial"/>
        <family val="0"/>
        <charset val="1"/>
      </rPr>
      <t xml:space="preserve">Q16b </t>
    </r>
    <r>
      <rPr>
        <sz val="10"/>
        <rFont val="Noto Sans CJK SC"/>
        <family val="2"/>
      </rPr>
      <t xml:space="preserve">关闭。
 但接口形态仍是我方缺口 —— </t>
    </r>
    <r>
      <rPr>
        <sz val="10"/>
        <rFont val="Arial"/>
        <family val="0"/>
        <charset val="1"/>
      </rPr>
      <t xml:space="preserve">11 §9.6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spec </t>
    </r>
    <r>
      <rPr>
        <sz val="10"/>
        <rFont val="Noto Sans CJK SC"/>
        <family val="2"/>
      </rPr>
      <t xml:space="preserve">至今没有按步态的限速表，</t>
    </r>
    <r>
      <rPr>
        <sz val="10"/>
        <rFont val="Arial"/>
        <family val="0"/>
        <charset val="1"/>
      </rPr>
      <t xml:space="preserve">gate.limiter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gait </t>
    </r>
    <r>
      <rPr>
        <sz val="10"/>
        <rFont val="Noto Sans CJK SC"/>
        <family val="2"/>
      </rPr>
      <t xml:space="preserve">枚举无处承载</t>
    </r>
  </si>
  <si>
    <t xml:space="preserve">NAV-74</t>
  </si>
  <si>
    <r>
      <rPr>
        <sz val="10"/>
        <rFont val="Arial"/>
        <family val="0"/>
        <charset val="1"/>
      </rPr>
      <t xml:space="preserve">Gemini 336L </t>
    </r>
    <r>
      <rPr>
        <sz val="10"/>
        <rFont val="Noto Sans CJK SC"/>
        <family val="2"/>
      </rPr>
      <t xml:space="preserve">量程约 </t>
    </r>
    <r>
      <rPr>
        <sz val="10"/>
        <rFont val="Arial"/>
        <family val="0"/>
        <charset val="1"/>
      </rPr>
      <t xml:space="preserve">10 m</t>
    </r>
    <r>
      <rPr>
        <sz val="10"/>
        <rFont val="Noto Sans CJK SC"/>
        <family val="2"/>
      </rPr>
      <t xml:space="preserve">，户外强光下对人的可靠检测距离约 </t>
    </r>
    <r>
      <rPr>
        <sz val="10"/>
        <rFont val="Arial"/>
        <family val="0"/>
        <charset val="1"/>
      </rPr>
      <t xml:space="preserve">6–8 m</t>
    </r>
  </si>
  <si>
    <r>
      <rPr>
        <sz val="10"/>
        <rFont val="Arial"/>
        <family val="0"/>
        <charset val="1"/>
      </rPr>
      <t xml:space="preserve">Gemini 336L </t>
    </r>
    <r>
      <rPr>
        <sz val="10"/>
        <rFont val="Noto Sans CJK SC"/>
        <family val="2"/>
      </rPr>
      <t xml:space="preserve">量程约 </t>
    </r>
    <r>
      <rPr>
        <sz val="10"/>
        <rFont val="Arial"/>
        <family val="0"/>
        <charset val="1"/>
      </rPr>
      <t xml:space="preserve">10 m</t>
    </r>
    <r>
      <rPr>
        <sz val="10"/>
        <rFont val="Noto Sans CJK SC"/>
        <family val="2"/>
      </rPr>
      <t xml:space="preserve">，户外强光下对人的可靠检测距离约 </t>
    </r>
    <r>
      <rPr>
        <sz val="10"/>
        <rFont val="Arial"/>
        <family val="0"/>
        <charset val="1"/>
      </rPr>
      <t xml:space="preserve">6–8 m</t>
    </r>
    <r>
      <rPr>
        <sz val="10"/>
        <rFont val="Noto Sans CJK SC"/>
        <family val="2"/>
      </rPr>
      <t xml:space="preserve">。 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后结论反转：</t>
    </r>
    <r>
      <rPr>
        <sz val="10"/>
        <rFont val="Arial"/>
        <family val="0"/>
        <charset val="1"/>
      </rPr>
      <t xml:space="preserve">D_slow = 3.0 m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单独就有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倍以上裕度 ⇒ </t>
    </r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足以支撑 </t>
    </r>
    <r>
      <rPr>
        <sz val="10"/>
        <rFont val="Arial"/>
        <family val="0"/>
        <charset val="1"/>
      </rPr>
      <t xml:space="preserve">patrol </t>
    </r>
    <r>
      <rPr>
        <sz val="10"/>
        <rFont val="Noto Sans CJK SC"/>
        <family val="2"/>
      </rPr>
      <t xml:space="preserve">上限 </t>
    </r>
    <r>
      <rPr>
        <sz val="10"/>
        <rFont val="Arial"/>
        <family val="0"/>
        <charset val="1"/>
      </rPr>
      <t xml:space="preserve">2.0 m/s</t>
    </r>
    <r>
      <rPr>
        <sz val="10"/>
        <rFont val="Noto Sans CJK SC"/>
        <family val="2"/>
      </rPr>
      <t xml:space="preserve">。
 作废 —— </t>
    </r>
    <r>
      <rPr>
        <sz val="10"/>
        <rFont val="Arial"/>
        <family val="0"/>
        <charset val="1"/>
      </rPr>
      <t xml:space="preserve">5/9 m/s </t>
    </r>
    <r>
      <rPr>
        <sz val="10"/>
        <rFont val="Noto Sans CJK SC"/>
        <family val="2"/>
      </rPr>
      <t xml:space="preserve">均已不在需求内（</t>
    </r>
    <r>
      <rPr>
        <sz val="10"/>
        <rFont val="Arial"/>
        <family val="0"/>
        <charset val="1"/>
      </rPr>
      <t xml:space="preserve">U33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U54</t>
    </r>
    <r>
      <rPr>
        <sz val="10"/>
        <rFont val="Noto Sans CJK SC"/>
        <family val="2"/>
      </rPr>
      <t xml:space="preserve">）</t>
    </r>
  </si>
  <si>
    <t xml:space="preserve">NAV-75</t>
  </si>
  <si>
    <r>
      <rPr>
        <sz val="10"/>
        <rFont val="Noto Sans CJK SC"/>
        <family val="2"/>
      </rPr>
      <t xml:space="preserve">作废重写（</t>
    </r>
    <r>
      <rPr>
        <sz val="10"/>
        <rFont val="Arial"/>
        <family val="0"/>
        <charset val="1"/>
      </rPr>
      <t xml:space="preserve">U54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</si>
  <si>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作废重写（</t>
    </r>
    <r>
      <rPr>
        <sz val="10"/>
        <rFont val="Arial"/>
        <family val="0"/>
        <charset val="1"/>
      </rPr>
      <t xml:space="preserve">U54</t>
    </r>
    <r>
      <rPr>
        <sz val="10"/>
        <rFont val="Noto Sans CJK SC"/>
        <family val="2"/>
      </rPr>
      <t xml:space="preserve">）：。
 为什么不成立：速度上限的第一参数已变成 </t>
    </r>
    <r>
      <rPr>
        <sz val="10"/>
        <rFont val="Arial"/>
        <family val="0"/>
        <charset val="1"/>
      </rPr>
      <t xml:space="preserve">1 m </t>
    </r>
    <r>
      <rPr>
        <sz val="10"/>
        <rFont val="Noto Sans CJK SC"/>
        <family val="2"/>
      </rPr>
      <t xml:space="preserve">安全距离 ＋ </t>
    </r>
    <r>
      <rPr>
        <sz val="10"/>
        <rFont val="Arial"/>
        <family val="0"/>
        <charset val="1"/>
      </rPr>
      <t xml:space="preserve">0.4 s </t>
    </r>
    <r>
      <rPr>
        <sz val="10"/>
        <rFont val="Noto Sans CJK SC"/>
        <family val="2"/>
      </rPr>
      <t xml:space="preserve">急停链路时延（</t>
    </r>
    <r>
      <rPr>
        <sz val="10"/>
        <rFont val="Arial"/>
        <family val="0"/>
        <charset val="1"/>
      </rPr>
      <t xml:space="preserve">NAV-72c</t>
    </r>
    <r>
      <rPr>
        <sz val="10"/>
        <rFont val="Noto Sans CJK SC"/>
        <family val="2"/>
      </rPr>
      <t xml:space="preserve">），派生出的感知距离需求只有 ≥ </t>
    </r>
    <r>
      <rPr>
        <sz val="10"/>
        <rFont val="Arial"/>
        <family val="0"/>
        <charset val="1"/>
      </rPr>
      <t xml:space="preserve">3.0 m</t>
    </r>
    <r>
      <rPr>
        <sz val="10"/>
        <rFont val="Noto Sans CJK SC"/>
        <family val="2"/>
      </rPr>
      <t xml:space="preserve">，而 </t>
    </r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已覆盖 ⇒ </t>
    </r>
    <r>
      <rPr>
        <sz val="10"/>
        <rFont val="Arial"/>
        <family val="0"/>
        <charset val="1"/>
      </rPr>
      <t xml:space="preserve">LiDAR </t>
    </r>
    <r>
      <rPr>
        <sz val="10"/>
        <rFont val="Noto Sans CJK SC"/>
        <family val="2"/>
      </rPr>
      <t xml:space="preserve">从「必需」降为「增强」，探距不再是速度上限的决定项，也不再是集成阻塞项（</t>
    </r>
    <r>
      <rPr>
        <sz val="10"/>
        <rFont val="Arial"/>
        <family val="0"/>
        <charset val="1"/>
      </rPr>
      <t xml:space="preserve">§22 #1 </t>
    </r>
    <r>
      <rPr>
        <sz val="10"/>
        <rFont val="Noto Sans CJK SC"/>
        <family val="2"/>
      </rPr>
      <t xml:space="preserve">已降为 </t>
    </r>
    <r>
      <rPr>
        <sz val="10"/>
        <rFont val="Arial"/>
        <family val="0"/>
        <charset val="1"/>
      </rPr>
      <t xml:space="preserve">P2</t>
    </r>
    <r>
      <rPr>
        <sz val="10"/>
        <rFont val="Noto Sans CJK SC"/>
        <family val="2"/>
      </rPr>
      <t xml:space="preserve">）。
 </t>
    </r>
    <r>
      <rPr>
        <sz val="10"/>
        <rFont val="Arial"/>
        <family val="0"/>
        <charset val="1"/>
      </rPr>
      <t xml:space="preserve">LiDAR </t>
    </r>
    <r>
      <rPr>
        <sz val="10"/>
        <rFont val="Noto Sans CJK SC"/>
        <family val="2"/>
      </rPr>
      <t xml:space="preserve">仍然要确认的只剩两项、且理由完全不同：① 水平 </t>
    </r>
    <r>
      <rPr>
        <sz val="10"/>
        <rFont val="Arial"/>
        <family val="0"/>
        <charset val="1"/>
      </rPr>
      <t xml:space="preserve">FOV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V-33</t>
    </r>
    <r>
      <rPr>
        <sz val="10"/>
        <rFont val="Noto Sans CJK SC"/>
        <family val="2"/>
      </rPr>
      <t xml:space="preserve">）—— 决定 </t>
    </r>
    <r>
      <rPr>
        <sz val="10"/>
        <rFont val="Arial"/>
        <family val="0"/>
        <charset val="1"/>
      </rPr>
      <t xml:space="preserve">dir_free[*].covered</t>
    </r>
    <r>
      <rPr>
        <sz val="10"/>
        <rFont val="Noto Sans CJK SC"/>
        <family val="2"/>
      </rPr>
      <t xml:space="preserve">，横移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旋转许可判不出来就必须拒绝；② 最小可检测目标尺寸 —— 进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定标与 </t>
    </r>
    <r>
      <rPr>
        <sz val="10"/>
        <rFont val="Arial"/>
        <family val="0"/>
        <charset val="1"/>
      </rPr>
      <t xml:space="preserve">NAV-123 </t>
    </r>
    <r>
      <rPr>
        <sz val="10"/>
        <rFont val="Noto Sans CJK SC"/>
        <family val="2"/>
      </rPr>
      <t xml:space="preserve">多方向覆盖判据。 这两项与制动距离无关</t>
    </r>
  </si>
  <si>
    <t xml:space="preserve">NAV-76</t>
  </si>
  <si>
    <t xml:space="preserve">三传感器分工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</si>
  <si>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三传感器分工：
</t>
    </r>
    <r>
      <rPr>
        <sz val="10"/>
        <rFont val="Arial"/>
        <family val="0"/>
        <charset val="1"/>
      </rPr>
      <t xml:space="preserve">LiDAR → </t>
    </r>
    <r>
      <rPr>
        <sz val="10"/>
        <rFont val="Noto Sans CJK SC"/>
        <family val="2"/>
      </rPr>
      <t xml:space="preserve">几何自由空间（与类别无关、远距离）→ 决定速度
</t>
    </r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稠密深度 → 近场（≤</t>
    </r>
    <r>
      <rPr>
        <sz val="10"/>
        <rFont val="Arial"/>
        <family val="0"/>
        <charset val="1"/>
      </rPr>
      <t xml:space="preserve">10 m</t>
    </r>
    <r>
      <rPr>
        <sz val="10"/>
        <rFont val="Noto Sans CJK SC"/>
        <family val="2"/>
      </rPr>
      <t xml:space="preserve">）与类别无关的占用校验 → 兜底
</t>
    </r>
    <r>
      <rPr>
        <sz val="10"/>
        <rFont val="Arial"/>
        <family val="0"/>
        <charset val="1"/>
      </rPr>
      <t xml:space="preserve">YOLOv11n → </t>
    </r>
    <r>
      <rPr>
        <sz val="10"/>
        <rFont val="Noto Sans CJK SC"/>
        <family val="2"/>
      </rPr>
      <t xml:space="preserve">语义理解（是不是人、要不要报警）→ 决定行为
即：速度由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看得见多远的空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决定，行为由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看见了什么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决定</t>
    </r>
  </si>
  <si>
    <t xml:space="preserve">NAV-77</t>
  </si>
  <si>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稠密深度图的占用检查几乎零成本 —— 数据已在输出，当前仅使用了检测框内的部分，改为整张深度图做走廊占用检查不…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</si>
  <si>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稠密深度图的占用检查几乎零成本 —— 数据已在输出，当前仅使用了检测框内的部分，改为整张深度图做走廊占用检查不增加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负载、不需新模型</t>
    </r>
  </si>
  <si>
    <t xml:space="preserve">NAV-78</t>
  </si>
  <si>
    <r>
      <rPr>
        <sz val="10"/>
        <rFont val="Noto Sans CJK SC"/>
        <family val="2"/>
      </rPr>
      <t xml:space="preserve">感知受限速度控制器，速度上限取多项之 </t>
    </r>
    <r>
      <rPr>
        <sz val="10"/>
        <rFont val="Arial"/>
        <family val="0"/>
        <charset val="1"/>
      </rPr>
      <t xml:space="preserve">min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</si>
  <si>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感知受限速度控制器，速度上限取多项之 </t>
    </r>
    <r>
      <rPr>
        <sz val="10"/>
        <rFont val="Arial"/>
        <family val="0"/>
        <charset val="1"/>
      </rPr>
      <t xml:space="preserve">min</t>
    </r>
    <r>
      <rPr>
        <sz val="10"/>
        <rFont val="Noto Sans CJK SC"/>
        <family val="2"/>
      </rPr>
      <t xml:space="preserve">：
</t>
    </r>
    <r>
      <rPr>
        <sz val="10"/>
        <rFont val="Arial"/>
        <family val="0"/>
        <charset val="1"/>
      </rPr>
      <t xml:space="preserve">v_max = min( f(</t>
    </r>
    <r>
      <rPr>
        <sz val="10"/>
        <rFont val="Noto Sans CJK SC"/>
        <family val="2"/>
      </rPr>
      <t xml:space="preserve">自由空间距离</t>
    </r>
    <r>
      <rPr>
        <sz val="10"/>
        <rFont val="Arial"/>
        <family val="0"/>
        <charset val="1"/>
      </rPr>
      <t xml:space="preserve">), g(</t>
    </r>
    <r>
      <rPr>
        <sz val="10"/>
        <rFont val="Noto Sans CJK SC"/>
        <family val="2"/>
      </rPr>
      <t xml:space="preserve">检测到的目标</t>
    </r>
    <r>
      <rPr>
        <sz val="10"/>
        <rFont val="Arial"/>
        <family val="0"/>
        <charset val="1"/>
      </rPr>
      <t xml:space="preserve">), h(</t>
    </r>
    <r>
      <rPr>
        <sz val="10"/>
        <rFont val="Noto Sans CJK SC"/>
        <family val="2"/>
      </rPr>
      <t xml:space="preserve">传感器健康度</t>
    </r>
    <r>
      <rPr>
        <sz val="10"/>
        <rFont val="Arial"/>
        <family val="0"/>
        <charset val="1"/>
      </rPr>
      <t xml:space="preserve">), i(</t>
    </r>
    <r>
      <rPr>
        <sz val="10"/>
        <rFont val="Noto Sans CJK SC"/>
        <family val="2"/>
      </rPr>
      <t xml:space="preserve">定位质量</t>
    </r>
    <r>
      <rPr>
        <sz val="10"/>
        <rFont val="Arial"/>
        <family val="0"/>
        <charset val="1"/>
      </rPr>
      <t xml:space="preserve">), j(</t>
    </r>
    <r>
      <rPr>
        <sz val="10"/>
        <rFont val="Noto Sans CJK SC"/>
        <family val="2"/>
      </rPr>
      <t xml:space="preserve">底盘制动能力</t>
    </r>
    <r>
      <rPr>
        <sz val="10"/>
        <rFont val="Arial"/>
        <family val="0"/>
        <charset val="1"/>
      </rPr>
      <t xml:space="preserve">) )
</t>
    </r>
    <r>
      <rPr>
        <sz val="10"/>
        <rFont val="Noto Sans CJK SC"/>
        <family val="2"/>
      </rPr>
      <t xml:space="preserve">其中 </t>
    </r>
    <r>
      <rPr>
        <sz val="10"/>
        <rFont val="Arial"/>
        <family val="0"/>
        <charset val="1"/>
      </rPr>
      <t xml:space="preserve">g() </t>
    </r>
    <r>
      <rPr>
        <sz val="10"/>
        <rFont val="Noto Sans CJK SC"/>
        <family val="2"/>
      </rPr>
      <t xml:space="preserve">即 </t>
    </r>
    <r>
      <rPr>
        <sz val="10"/>
        <rFont val="Arial"/>
        <family val="0"/>
        <charset val="1"/>
      </rPr>
      <t xml:space="preserve">NAV-72 </t>
    </r>
    <r>
      <rPr>
        <sz val="10"/>
        <rFont val="Noto Sans CJK SC"/>
        <family val="2"/>
      </rPr>
      <t xml:space="preserve">原逻辑，予以保留</t>
    </r>
  </si>
  <si>
    <t xml:space="preserve">NAV-79</t>
  </si>
  <si>
    <r>
      <rPr>
        <sz val="10"/>
        <rFont val="Arial"/>
        <family val="0"/>
        <charset val="1"/>
      </rPr>
      <t xml:space="preserve">h(</t>
    </r>
    <r>
      <rPr>
        <sz val="10"/>
        <rFont val="Noto Sans CJK SC"/>
        <family val="2"/>
      </rPr>
      <t xml:space="preserve">传感器健康度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为最低成本、最高收益项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</si>
  <si>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h(</t>
    </r>
    <r>
      <rPr>
        <sz val="10"/>
        <rFont val="Noto Sans CJK SC"/>
        <family val="2"/>
      </rPr>
      <t xml:space="preserve">传感器健康度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为最低成本、最高收益项：任一传感器降级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超时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丢帧 → 强制降速。它专门拦截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感知挂了反而加速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这一场景，实现成本几乎为零。即使 </t>
    </r>
    <r>
      <rPr>
        <sz val="10"/>
        <rFont val="Arial"/>
        <family val="0"/>
        <charset val="1"/>
      </rPr>
      <t xml:space="preserve">NAV-76/78 </t>
    </r>
    <r>
      <rPr>
        <sz val="10"/>
        <rFont val="Noto Sans CJK SC"/>
        <family val="2"/>
      </rPr>
      <t xml:space="preserve">不采纳，本文档仍建议单独实施此项
 该项的数据来源已经存在 —— 开机自检（</t>
    </r>
    <r>
      <rPr>
        <sz val="10"/>
        <rFont val="Arial"/>
        <family val="0"/>
        <charset val="1"/>
      </rPr>
      <t xml:space="preserve">§9</t>
    </r>
    <r>
      <rPr>
        <sz val="10"/>
        <rFont val="Noto Sans CJK SC"/>
        <family val="2"/>
      </rPr>
      <t xml:space="preserve">）建立健康度基线、运行时监控持续更新，见 </t>
    </r>
    <r>
      <rPr>
        <sz val="10"/>
        <rFont val="Arial"/>
        <family val="0"/>
        <charset val="1"/>
      </rPr>
      <t xml:space="preserve">BIT-10/BIT-11</t>
    </r>
    <r>
      <rPr>
        <sz val="10"/>
        <rFont val="Noto Sans CJK SC"/>
        <family val="2"/>
      </rPr>
      <t xml:space="preserve">。二者对接即可闭环</t>
    </r>
  </si>
  <si>
    <t xml:space="preserve">NAV-80</t>
  </si>
  <si>
    <t xml:space="preserve">已作废两次</t>
  </si>
  <si>
    <r>
      <rPr>
        <sz val="10"/>
        <rFont val="Noto Sans CJK SC"/>
        <family val="2"/>
      </rPr>
      <t xml:space="preserve">已作废两次：① </t>
    </r>
    <r>
      <rPr>
        <sz val="10"/>
        <rFont val="Arial"/>
        <family val="0"/>
        <charset val="1"/>
      </rPr>
      <t xml:space="preserve">2026-07-28 </t>
    </r>
    <r>
      <rPr>
        <sz val="10"/>
        <rFont val="Noto Sans CJK SC"/>
        <family val="2"/>
      </rPr>
      <t xml:space="preserve">被 </t>
    </r>
    <r>
      <rPr>
        <sz val="10"/>
        <rFont val="Arial"/>
        <family val="0"/>
        <charset val="1"/>
      </rPr>
      <t xml:space="preserve">NAV-72 </t>
    </r>
    <r>
      <rPr>
        <sz val="10"/>
        <rFont val="Noto Sans CJK SC"/>
        <family val="2"/>
      </rPr>
      <t xml:space="preserve">分档设计取代（当时四档，</t>
    </r>
    <r>
      <rPr>
        <sz val="10"/>
        <rFont val="Arial"/>
        <family val="0"/>
        <charset val="1"/>
      </rPr>
      <t xml:space="preserve">transit </t>
    </r>
    <r>
      <rPr>
        <sz val="10"/>
        <rFont val="Noto Sans CJK SC"/>
        <family val="2"/>
      </rPr>
      <t xml:space="preserve">即原转场模式）；② </t>
    </r>
    <r>
      <rPr>
        <sz val="10"/>
        <rFont val="Arial"/>
        <family val="0"/>
        <charset val="1"/>
      </rPr>
      <t xml:space="preserve">2026-07-30 U33 </t>
    </r>
    <r>
      <rPr>
        <sz val="10"/>
        <rFont val="Noto Sans CJK SC"/>
        <family val="2"/>
      </rPr>
      <t xml:space="preserve">删除 </t>
    </r>
    <r>
      <rPr>
        <sz val="10"/>
        <rFont val="Arial"/>
        <family val="0"/>
        <charset val="1"/>
      </rPr>
      <t xml:space="preserve">cruise/transit </t>
    </r>
    <r>
      <rPr>
        <sz val="10"/>
        <rFont val="Noto Sans CJK SC"/>
        <family val="2"/>
      </rPr>
      <t xml:space="preserve">两档、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把闭集重定义为两档（</t>
    </r>
    <r>
      <rPr>
        <sz val="10"/>
        <rFont val="Arial"/>
        <family val="0"/>
        <charset val="1"/>
      </rPr>
      <t xml:space="preserve">patrol 1–2 / obstacle_avoid 0.2–0.5</t>
    </r>
    <r>
      <rPr>
        <sz val="10"/>
        <rFont val="Noto Sans CJK SC"/>
        <family val="2"/>
      </rPr>
      <t xml:space="preserve">） ⇒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转场模式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已无对应档位，本条彻底无落点。原文保留备查：取代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无检测即高速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的隐式判据：
转场（</t>
    </r>
    <r>
      <rPr>
        <sz val="10"/>
        <rFont val="Arial"/>
        <family val="0"/>
        <charset val="1"/>
      </rPr>
      <t xml:space="preserve">Transit</t>
    </r>
    <r>
      <rPr>
        <sz val="10"/>
        <rFont val="Noto Sans CJK SC"/>
        <family val="2"/>
      </rPr>
      <t xml:space="preserve">） </t>
    </r>
    <r>
      <rPr>
        <sz val="10"/>
        <rFont val="Arial"/>
        <family val="0"/>
        <charset val="1"/>
      </rPr>
      <t xml:space="preserve">6–9 m/s</t>
    </r>
    <r>
      <rPr>
        <sz val="10"/>
        <rFont val="Noto Sans CJK SC"/>
        <family val="2"/>
      </rPr>
      <t xml:space="preserve">，仅限已知路线、有地图先验、</t>
    </r>
    <r>
      <rPr>
        <sz val="10"/>
        <rFont val="Arial"/>
        <family val="0"/>
        <charset val="1"/>
      </rPr>
      <t xml:space="preserve">LiDAR </t>
    </r>
    <r>
      <rPr>
        <sz val="10"/>
        <rFont val="Noto Sans CJK SC"/>
        <family val="2"/>
      </rPr>
      <t xml:space="preserve">确认走廊净空 ≥ 制动距离 </t>
    </r>
    <r>
      <rPr>
        <sz val="10"/>
        <rFont val="Arial"/>
        <family val="0"/>
        <charset val="1"/>
      </rPr>
      <t xml:space="preserve">×1.5
</t>
    </r>
    <r>
      <rPr>
        <sz val="10"/>
        <rFont val="Noto Sans CJK SC"/>
        <family val="2"/>
      </rPr>
      <t xml:space="preserve">巡逻（</t>
    </r>
    <r>
      <rPr>
        <sz val="10"/>
        <rFont val="Arial"/>
        <family val="0"/>
        <charset val="1"/>
      </rPr>
      <t xml:space="preserve">Patrol</t>
    </r>
    <r>
      <rPr>
        <sz val="10"/>
        <rFont val="Noto Sans CJK SC"/>
        <family val="2"/>
      </rPr>
      <t xml:space="preserve">） </t>
    </r>
    <r>
      <rPr>
        <sz val="10"/>
        <rFont val="Arial"/>
        <family val="0"/>
        <charset val="1"/>
      </rPr>
      <t xml:space="preserve">1–5 m/s
</t>
    </r>
    <r>
      <rPr>
        <sz val="10"/>
        <rFont val="Noto Sans CJK SC"/>
        <family val="2"/>
      </rPr>
      <t xml:space="preserve">高速成为显式授权而非隐式后果；且转场路线重复行走，可积累地图先验，安全裕度更高</t>
    </r>
  </si>
  <si>
    <r>
      <rPr>
        <sz val="10"/>
        <rFont val="Arial"/>
        <family val="0"/>
        <charset val="1"/>
      </rPr>
      <t xml:space="preserve">F1 / 3.9 </t>
    </r>
    <r>
      <rPr>
        <sz val="10"/>
        <rFont val="Noto Sans CJK SC"/>
        <family val="2"/>
      </rPr>
      <t xml:space="preserve">【新】</t>
    </r>
    <r>
      <rPr>
        <sz val="10"/>
        <rFont val="Arial"/>
        <family val="0"/>
        <charset val="1"/>
      </rPr>
      <t xml:space="preserve">Nav2 </t>
    </r>
    <r>
      <rPr>
        <sz val="10"/>
        <rFont val="Noto Sans CJK SC"/>
        <family val="2"/>
      </rPr>
      <t xml:space="preserve">使用范围</t>
    </r>
  </si>
  <si>
    <t xml:space="preserve">NAV-90</t>
  </si>
  <si>
    <r>
      <rPr>
        <sz val="10"/>
        <rFont val="Arial"/>
        <family val="0"/>
        <charset val="1"/>
      </rPr>
      <t xml:space="preserve">Nav2 </t>
    </r>
    <r>
      <rPr>
        <sz val="10"/>
        <rFont val="Noto Sans CJK SC"/>
        <family val="2"/>
      </rPr>
      <t xml:space="preserve">仅启动相关进程与 </t>
    </r>
    <r>
      <rPr>
        <sz val="10"/>
        <rFont val="Arial"/>
        <family val="0"/>
        <charset val="1"/>
      </rPr>
      <t xml:space="preserve">lifecycle_manager</t>
    </r>
    <r>
      <rPr>
        <sz val="10"/>
        <rFont val="Noto Sans CJK SC"/>
        <family val="2"/>
      </rPr>
      <t xml:space="preserve">，使系统支持 </t>
    </r>
    <r>
      <rPr>
        <sz val="10"/>
        <rFont val="Arial"/>
        <family val="0"/>
        <charset val="1"/>
      </rPr>
      <t xml:space="preserve">spin / backup / wait </t>
    </r>
    <r>
      <rPr>
        <sz val="10"/>
        <rFont val="Noto Sans CJK SC"/>
        <family val="2"/>
      </rPr>
      <t xml:space="preserve">三…</t>
    </r>
  </si>
  <si>
    <r>
      <rPr>
        <sz val="10"/>
        <rFont val="Arial"/>
        <family val="0"/>
        <charset val="1"/>
      </rPr>
      <t xml:space="preserve">Nav2 </t>
    </r>
    <r>
      <rPr>
        <sz val="10"/>
        <rFont val="Noto Sans CJK SC"/>
        <family val="2"/>
      </rPr>
      <t xml:space="preserve">仅启动相关进程与 </t>
    </r>
    <r>
      <rPr>
        <sz val="10"/>
        <rFont val="Arial"/>
        <family val="0"/>
        <charset val="1"/>
      </rPr>
      <t xml:space="preserve">lifecycle_manager</t>
    </r>
    <r>
      <rPr>
        <sz val="10"/>
        <rFont val="Noto Sans CJK SC"/>
        <family val="2"/>
      </rPr>
      <t xml:space="preserve">，使系统支持 </t>
    </r>
    <r>
      <rPr>
        <sz val="10"/>
        <rFont val="Arial"/>
        <family val="0"/>
        <charset val="1"/>
      </rPr>
      <t xml:space="preserve">spin / backup / wait </t>
    </r>
    <r>
      <rPr>
        <sz val="10"/>
        <rFont val="Noto Sans CJK SC"/>
        <family val="2"/>
      </rPr>
      <t xml:space="preserve">三个 </t>
    </r>
    <r>
      <rPr>
        <sz val="10"/>
        <rFont val="Arial"/>
        <family val="0"/>
        <charset val="1"/>
      </rPr>
      <t xml:space="preserve">action</t>
    </r>
  </si>
  <si>
    <r>
      <rPr>
        <sz val="10"/>
        <rFont val="Noto Sans CJK SC"/>
        <family val="2"/>
      </rPr>
      <t xml:space="preserve">按 </t>
    </r>
    <r>
      <rPr>
        <sz val="10"/>
        <rFont val="Arial"/>
        <family val="0"/>
        <charset val="1"/>
      </rPr>
      <t xml:space="preserve">12 §4.6 </t>
    </r>
    <r>
      <rPr>
        <sz val="10"/>
        <rFont val="Noto Sans CJK SC"/>
        <family val="2"/>
      </rPr>
      <t xml:space="preserve">裁决不用 </t>
    </r>
    <r>
      <rPr>
        <sz val="10"/>
        <rFont val="Arial"/>
        <family val="0"/>
        <charset val="1"/>
      </rPr>
      <t xml:space="preserve">Nav2</t>
    </r>
    <r>
      <rPr>
        <sz val="10"/>
        <rFont val="Noto Sans CJK SC"/>
        <family val="2"/>
      </rPr>
      <t xml:space="preserve">（运动全部由 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负责），审查即可</t>
    </r>
  </si>
  <si>
    <t xml:space="preserve">NAV-91</t>
  </si>
  <si>
    <r>
      <rPr>
        <sz val="10"/>
        <rFont val="Noto Sans CJK SC"/>
        <family val="2"/>
      </rPr>
      <t xml:space="preserve">仅需支持旋转与后退两种行为，不使用 </t>
    </r>
    <r>
      <rPr>
        <sz val="10"/>
        <rFont val="Arial"/>
        <family val="0"/>
        <charset val="1"/>
      </rPr>
      <t xml:space="preserve">Nav2 </t>
    </r>
    <r>
      <rPr>
        <sz val="10"/>
        <rFont val="Noto Sans CJK SC"/>
        <family val="2"/>
      </rPr>
      <t xml:space="preserve">的规划器、控制器、</t>
    </r>
    <r>
      <rPr>
        <sz val="10"/>
        <rFont val="Arial"/>
        <family val="0"/>
        <charset val="1"/>
      </rPr>
      <t xml:space="preserve">costmap </t>
    </r>
    <r>
      <rPr>
        <sz val="10"/>
        <rFont val="Noto Sans CJK SC"/>
        <family val="2"/>
      </rPr>
      <t xml:space="preserve">导航栈</t>
    </r>
  </si>
  <si>
    <t xml:space="preserve">NAV-92</t>
  </si>
  <si>
    <t xml:space="preserve">目标</t>
  </si>
  <si>
    <r>
      <rPr>
        <sz val="10"/>
        <rFont val="Noto Sans CJK SC"/>
        <family val="2"/>
      </rPr>
      <t xml:space="preserve">目标：在 </t>
    </r>
    <r>
      <rPr>
        <sz val="10"/>
        <rFont val="Arial"/>
        <family val="0"/>
        <charset val="1"/>
      </rPr>
      <t xml:space="preserve">/gnss/heading </t>
    </r>
    <r>
      <rPr>
        <sz val="10"/>
        <rFont val="Noto Sans CJK SC"/>
        <family val="2"/>
      </rPr>
      <t xml:space="preserve">失效时仍能高精度旋转</t>
    </r>
  </si>
  <si>
    <t xml:space="preserve">NAV-93</t>
  </si>
  <si>
    <r>
      <rPr>
        <sz val="10"/>
        <rFont val="Arial"/>
        <family val="0"/>
        <charset val="1"/>
      </rPr>
      <t xml:space="preserve">backup </t>
    </r>
    <r>
      <rPr>
        <sz val="10"/>
        <rFont val="Noto Sans CJK SC"/>
        <family val="2"/>
      </rPr>
      <t xml:space="preserve">为预留能力，不一定使用</t>
    </r>
  </si>
  <si>
    <t xml:space="preserve">NAV-94</t>
  </si>
  <si>
    <t xml:space="preserve">架构冲突一</t>
  </si>
  <si>
    <r>
      <rPr>
        <sz val="10"/>
        <rFont val="Noto Sans CJK SC"/>
        <family val="2"/>
      </rPr>
      <t xml:space="preserve">架构冲突一：</t>
    </r>
    <r>
      <rPr>
        <sz val="10"/>
        <rFont val="Arial"/>
        <family val="0"/>
        <charset val="1"/>
      </rPr>
      <t xml:space="preserve">Nav2 behavior_server </t>
    </r>
    <r>
      <rPr>
        <sz val="10"/>
        <rFont val="Noto Sans CJK SC"/>
        <family val="2"/>
      </rPr>
      <t xml:space="preserve">执行 </t>
    </r>
    <r>
      <rPr>
        <sz val="10"/>
        <rFont val="Arial"/>
        <family val="0"/>
        <charset val="1"/>
      </rPr>
      <t xml:space="preserve">spin </t>
    </r>
    <r>
      <rPr>
        <sz val="10"/>
        <rFont val="Noto Sans CJK SC"/>
        <family val="2"/>
      </rPr>
      <t xml:space="preserve">时直接发布 </t>
    </r>
    <r>
      <rPr>
        <sz val="10"/>
        <rFont val="Arial"/>
        <family val="0"/>
        <charset val="1"/>
      </rPr>
      <t xml:space="preserve">cmd_vel</t>
    </r>
    <r>
      <rPr>
        <sz val="10"/>
        <rFont val="Noto Sans CJK SC"/>
        <family val="2"/>
      </rPr>
      <t xml:space="preserve">。若直连底盘将绕过 </t>
    </r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的仲裁、围栏裁剪与限幅，违反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唯一速度出口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约束（</t>
    </r>
    <r>
      <rPr>
        <sz val="10"/>
        <rFont val="Arial"/>
        <family val="0"/>
        <charset val="1"/>
      </rPr>
      <t xml:space="preserve">CON-07</t>
    </r>
    <r>
      <rPr>
        <sz val="10"/>
        <rFont val="Noto Sans CJK SC"/>
        <family val="2"/>
      </rPr>
      <t xml:space="preserve">）。必须将其 </t>
    </r>
    <r>
      <rPr>
        <sz val="10"/>
        <rFont val="Arial"/>
        <family val="0"/>
        <charset val="1"/>
      </rPr>
      <t xml:space="preserve">cmd_vel </t>
    </r>
    <r>
      <rPr>
        <sz val="10"/>
        <rFont val="Noto Sans CJK SC"/>
        <family val="2"/>
      </rPr>
      <t xml:space="preserve">重映射，作为 </t>
    </r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的一个运动源接入。旋转同样可能碰撞或转出围栏，须过同一道门</t>
    </r>
  </si>
  <si>
    <t xml:space="preserve">NAV-95</t>
  </si>
  <si>
    <t xml:space="preserve">架构冲突二</t>
  </si>
  <si>
    <r>
      <rPr>
        <sz val="10"/>
        <rFont val="Noto Sans CJK SC"/>
        <family val="2"/>
      </rPr>
      <t xml:space="preserve">架构冲突二：</t>
    </r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为 </t>
    </r>
    <r>
      <rPr>
        <sz val="10"/>
        <rFont val="Arial"/>
        <family val="0"/>
        <charset val="1"/>
      </rPr>
      <t xml:space="preserve">Python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ROS 2 </t>
    </r>
    <r>
      <rPr>
        <sz val="10"/>
        <rFont val="Noto Sans CJK SC"/>
        <family val="2"/>
      </rPr>
      <t xml:space="preserve">进程，无法直接调用 </t>
    </r>
    <r>
      <rPr>
        <sz val="10"/>
        <rFont val="Arial"/>
        <family val="0"/>
        <charset val="1"/>
      </rPr>
      <t xml:space="preserve">ROS 2 Action</t>
    </r>
    <r>
      <rPr>
        <sz val="10"/>
        <rFont val="Noto Sans CJK SC"/>
        <family val="2"/>
      </rPr>
      <t xml:space="preserve">（底层为 </t>
    </r>
    <r>
      <rPr>
        <sz val="10"/>
        <rFont val="Arial"/>
        <family val="0"/>
        <charset val="1"/>
      </rPr>
      <t xml:space="preserve">goal/cancel/result/feedback/status </t>
    </r>
    <r>
      <rPr>
        <sz val="10"/>
        <rFont val="Noto Sans CJK SC"/>
        <family val="2"/>
      </rPr>
      <t xml:space="preserve">五个话题服务）。解法：新增薄的 </t>
    </r>
    <r>
      <rPr>
        <sz val="10"/>
        <rFont val="Arial"/>
        <family val="0"/>
        <charset val="1"/>
      </rPr>
      <t xml:space="preserve">behavior_proxy C++ ROS 2 </t>
    </r>
    <r>
      <rPr>
        <sz val="10"/>
        <rFont val="Noto Sans CJK SC"/>
        <family val="2"/>
      </rPr>
      <t xml:space="preserve">节点（约 </t>
    </r>
    <r>
      <rPr>
        <sz val="10"/>
        <rFont val="Arial"/>
        <family val="0"/>
        <charset val="1"/>
      </rPr>
      <t xml:space="preserve">150 </t>
    </r>
    <r>
      <rPr>
        <sz val="10"/>
        <rFont val="Noto Sans CJK SC"/>
        <family val="2"/>
      </rPr>
      <t xml:space="preserve">行），双向翻译：
</t>
    </r>
    <r>
      <rPr>
        <sz val="10"/>
        <rFont val="Arial"/>
        <family val="0"/>
        <charset val="1"/>
      </rPr>
      <t xml:space="preserve">· Zenoh </t>
    </r>
    <r>
      <rPr>
        <sz val="10"/>
        <rFont val="Noto Sans CJK SC"/>
        <family val="2"/>
      </rPr>
      <t xml:space="preserve">简单请求 </t>
    </r>
    <r>
      <rPr>
        <sz val="10"/>
        <rFont val="Arial"/>
        <family val="0"/>
        <charset val="1"/>
      </rPr>
      <t xml:space="preserve">{angle, max_speed, timeout} → Nav2 Action Goal
· Nav2 feedback/result → Zenoh </t>
    </r>
    <r>
      <rPr>
        <sz val="10"/>
        <rFont val="Noto Sans CJK SC"/>
        <family val="2"/>
      </rPr>
      <t xml:space="preserve">状态消息
</t>
    </r>
    <r>
      <rPr>
        <sz val="10"/>
        <rFont val="Arial"/>
        <family val="0"/>
        <charset val="1"/>
      </rPr>
      <t xml:space="preserve">· Nav2 cmd_vel → RT Session</t>
    </r>
    <r>
      <rPr>
        <sz val="10"/>
        <rFont val="Noto Sans CJK SC"/>
        <family val="2"/>
      </rPr>
      <t xml:space="preserve">，作为 </t>
    </r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的一个运动源</t>
    </r>
  </si>
  <si>
    <t xml:space="preserve">NAV-96</t>
  </si>
  <si>
    <r>
      <rPr>
        <sz val="10"/>
        <rFont val="Arial"/>
        <family val="0"/>
        <charset val="1"/>
      </rPr>
      <t xml:space="preserve">spin </t>
    </r>
    <r>
      <rPr>
        <sz val="10"/>
        <rFont val="Noto Sans CJK SC"/>
        <family val="2"/>
      </rPr>
      <t xml:space="preserve">精度实际取决于底盘里程计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</si>
  <si>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spin </t>
    </r>
    <r>
      <rPr>
        <sz val="10"/>
        <rFont val="Noto Sans CJK SC"/>
        <family val="2"/>
      </rPr>
      <t xml:space="preserve">精度实际取决于底盘里程计：</t>
    </r>
    <r>
      <rPr>
        <sz val="10"/>
        <rFont val="Arial"/>
        <family val="0"/>
        <charset val="1"/>
      </rPr>
      <t xml:space="preserve">Nav2 spin </t>
    </r>
    <r>
      <rPr>
        <sz val="10"/>
        <rFont val="Noto Sans CJK SC"/>
        <family val="2"/>
      </rPr>
      <t xml:space="preserve">通过 </t>
    </r>
    <r>
      <rPr>
        <sz val="10"/>
        <rFont val="Arial"/>
        <family val="0"/>
        <charset val="1"/>
      </rPr>
      <t xml:space="preserve">odom → base_link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TF </t>
    </r>
    <r>
      <rPr>
        <sz val="10"/>
        <rFont val="Noto Sans CJK SC"/>
        <family val="2"/>
      </rPr>
      <t xml:space="preserve">反馈做闭环，</t>
    </r>
    <r>
      <rPr>
        <sz val="10"/>
        <rFont val="Arial"/>
        <family val="0"/>
        <charset val="1"/>
      </rPr>
      <t xml:space="preserve">Nav2 </t>
    </r>
    <r>
      <rPr>
        <sz val="10"/>
        <rFont val="Noto Sans CJK SC"/>
        <family val="2"/>
      </rPr>
      <t xml:space="preserve">本身只是封装了反馈控制的 </t>
    </r>
    <r>
      <rPr>
        <sz val="10"/>
        <rFont val="Arial"/>
        <family val="0"/>
        <charset val="1"/>
      </rPr>
      <t xml:space="preserve">action server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"heading </t>
    </r>
    <r>
      <rPr>
        <sz val="10"/>
        <rFont val="Noto Sans CJK SC"/>
        <family val="2"/>
      </rPr>
      <t xml:space="preserve">失效时高精度旋转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真正依赖的是 </t>
    </r>
    <r>
      <rPr>
        <sz val="10"/>
        <rFont val="Arial"/>
        <family val="0"/>
        <charset val="1"/>
      </rPr>
      <t xml:space="preserve">quadruped </t>
    </r>
    <r>
      <rPr>
        <sz val="10"/>
        <rFont val="Noto Sans CJK SC"/>
        <family val="2"/>
      </rPr>
      <t xml:space="preserve">节点发布的里程计航向精度（</t>
    </r>
    <r>
      <rPr>
        <sz val="10"/>
        <rFont val="Arial"/>
        <family val="0"/>
        <charset val="1"/>
      </rPr>
      <t xml:space="preserve">IMU </t>
    </r>
    <r>
      <rPr>
        <sz val="10"/>
        <rFont val="Noto Sans CJK SC"/>
        <family val="2"/>
      </rPr>
      <t xml:space="preserve">融合质量）</t>
    </r>
  </si>
  <si>
    <t xml:space="preserve">NAV-97</t>
  </si>
  <si>
    <r>
      <rPr>
        <sz val="10"/>
        <rFont val="Noto Sans CJK SC"/>
        <family val="2"/>
      </rPr>
      <t xml:space="preserve">待确认：</t>
    </r>
    <r>
      <rPr>
        <sz val="10"/>
        <rFont val="Arial"/>
        <family val="0"/>
        <charset val="1"/>
      </rPr>
      <t xml:space="preserve">M20S </t>
    </r>
    <r>
      <rPr>
        <sz val="10"/>
        <rFont val="Noto Sans CJK SC"/>
        <family val="2"/>
      </rPr>
      <t xml:space="preserve">是否提供融合后的高质量 </t>
    </r>
    <r>
      <rPr>
        <sz val="10"/>
        <rFont val="Arial"/>
        <family val="0"/>
        <charset val="1"/>
      </rPr>
      <t xml:space="preserve">odom</t>
    </r>
    <r>
      <rPr>
        <sz val="10"/>
        <rFont val="Noto Sans CJK SC"/>
        <family val="2"/>
      </rPr>
      <t xml:space="preserve">？</t>
    </r>
    <r>
      <rPr>
        <sz val="10"/>
        <rFont val="Arial"/>
        <family val="0"/>
        <charset val="1"/>
      </rPr>
      <t xml:space="preserve">yaw </t>
    </r>
    <r>
      <rPr>
        <sz val="10"/>
        <rFont val="Noto Sans CJK SC"/>
        <family val="2"/>
      </rPr>
      <t xml:space="preserve">漂移率是多少？此数值是 </t>
    </r>
    <r>
      <rPr>
        <sz val="10"/>
        <rFont val="Arial"/>
        <family val="0"/>
        <charset val="1"/>
      </rPr>
      <t xml:space="preserve">spin </t>
    </r>
    <r>
      <rPr>
        <sz val="10"/>
        <rFont val="Noto Sans CJK SC"/>
        <family val="2"/>
      </rPr>
      <t xml:space="preserve">精度的真实上限</t>
    </r>
  </si>
  <si>
    <t xml:space="preserve">NAV-98</t>
  </si>
  <si>
    <r>
      <rPr>
        <sz val="10"/>
        <rFont val="Arial"/>
        <family val="0"/>
        <charset val="1"/>
      </rPr>
      <t xml:space="preserve">Nav2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spin/backup </t>
    </r>
    <r>
      <rPr>
        <sz val="10"/>
        <rFont val="Noto Sans CJK SC"/>
        <family val="2"/>
      </rPr>
      <t xml:space="preserve">内部通常依赖 </t>
    </r>
    <r>
      <rPr>
        <sz val="10"/>
        <rFont val="Arial"/>
        <family val="0"/>
        <charset val="1"/>
      </rPr>
      <t xml:space="preserve">costmap </t>
    </r>
    <r>
      <rPr>
        <sz val="10"/>
        <rFont val="Noto Sans CJK SC"/>
        <family val="2"/>
      </rPr>
      <t xml:space="preserve">话题做碰撞检查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</si>
  <si>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Nav2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spin/backup </t>
    </r>
    <r>
      <rPr>
        <sz val="10"/>
        <rFont val="Noto Sans CJK SC"/>
        <family val="2"/>
      </rPr>
      <t xml:space="preserve">内部通常依赖 </t>
    </r>
    <r>
      <rPr>
        <sz val="10"/>
        <rFont val="Arial"/>
        <family val="0"/>
        <charset val="1"/>
      </rPr>
      <t xml:space="preserve">costmap </t>
    </r>
    <r>
      <rPr>
        <sz val="10"/>
        <rFont val="Noto Sans CJK SC"/>
        <family val="2"/>
      </rPr>
      <t xml:space="preserve">话题做碰撞检查。仅运行 </t>
    </r>
    <r>
      <rPr>
        <sz val="10"/>
        <rFont val="Arial"/>
        <family val="0"/>
        <charset val="1"/>
      </rPr>
      <t xml:space="preserve">behavior_server + lifecycle_manager </t>
    </r>
    <r>
      <rPr>
        <sz val="10"/>
        <rFont val="Noto Sans CJK SC"/>
        <family val="2"/>
      </rPr>
      <t xml:space="preserve">而不运行 </t>
    </r>
    <r>
      <rPr>
        <sz val="10"/>
        <rFont val="Arial"/>
        <family val="0"/>
        <charset val="1"/>
      </rPr>
      <t xml:space="preserve">costmap </t>
    </r>
    <r>
      <rPr>
        <sz val="10"/>
        <rFont val="Noto Sans CJK SC"/>
        <family val="2"/>
      </rPr>
      <t xml:space="preserve">时需相应配置（关闭检查或提供空 </t>
    </r>
    <r>
      <rPr>
        <sz val="10"/>
        <rFont val="Arial"/>
        <family val="0"/>
        <charset val="1"/>
      </rPr>
      <t xml:space="preserve">costmap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的既有配置需一并迁移</t>
    </r>
  </si>
  <si>
    <r>
      <rPr>
        <sz val="10"/>
        <rFont val="Arial"/>
        <family val="0"/>
        <charset val="1"/>
      </rPr>
      <t xml:space="preserve">F1 / 3.10 </t>
    </r>
    <r>
      <rPr>
        <sz val="10"/>
        <rFont val="Noto Sans CJK SC"/>
        <family val="2"/>
      </rPr>
      <t xml:space="preserve">【新】底盘接口约束 （源自 </t>
    </r>
    <r>
      <rPr>
        <sz val="10"/>
        <rFont val="Arial"/>
        <family val="0"/>
        <charset val="1"/>
      </rPr>
      <t xml:space="preserve">M20S </t>
    </r>
    <r>
      <rPr>
        <sz val="10"/>
        <rFont val="Noto Sans CJK SC"/>
        <family val="2"/>
      </rPr>
      <t xml:space="preserve">手册核对，</t>
    </r>
    <r>
      <rPr>
        <sz val="10"/>
        <rFont val="Arial"/>
        <family val="0"/>
        <charset val="1"/>
      </rPr>
      <t xml:space="preserve">2026-07-28</t>
    </r>
    <r>
      <rPr>
        <sz val="10"/>
        <rFont val="Noto Sans CJK SC"/>
        <family val="2"/>
      </rPr>
      <t xml:space="preserve">）</t>
    </r>
  </si>
  <si>
    <t xml:space="preserve">NAV-110</t>
  </si>
  <si>
    <t xml:space="preserve">模式三元组</t>
  </si>
  <si>
    <r>
      <rPr>
        <sz val="10"/>
        <rFont val="Noto Sans CJK SC"/>
        <family val="2"/>
      </rPr>
      <t xml:space="preserve">模式三元组：底盘的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模式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是三个正交维度 —— 使用模式（常规</t>
    </r>
    <r>
      <rPr>
        <sz val="10"/>
        <rFont val="Arial"/>
        <family val="0"/>
        <charset val="1"/>
      </rPr>
      <t xml:space="preserve">0/</t>
    </r>
    <r>
      <rPr>
        <sz val="10"/>
        <rFont val="Noto Sans CJK SC"/>
        <family val="2"/>
      </rPr>
      <t xml:space="preserve">导航</t>
    </r>
    <r>
      <rPr>
        <sz val="10"/>
        <rFont val="Arial"/>
        <family val="0"/>
        <charset val="1"/>
      </rPr>
      <t xml:space="preserve">1/</t>
    </r>
    <r>
      <rPr>
        <sz val="10"/>
        <rFont val="Noto Sans CJK SC"/>
        <family val="2"/>
      </rPr>
      <t xml:space="preserve">辅助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）、运动状态（空闲</t>
    </r>
    <r>
      <rPr>
        <sz val="10"/>
        <rFont val="Arial"/>
        <family val="0"/>
        <charset val="1"/>
      </rPr>
      <t xml:space="preserve">0/</t>
    </r>
    <r>
      <rPr>
        <sz val="10"/>
        <rFont val="Noto Sans CJK SC"/>
        <family val="2"/>
      </rPr>
      <t xml:space="preserve">站立</t>
    </r>
    <r>
      <rPr>
        <sz val="10"/>
        <rFont val="Arial"/>
        <family val="0"/>
        <charset val="1"/>
      </rPr>
      <t xml:space="preserve">1/</t>
    </r>
    <r>
      <rPr>
        <sz val="10"/>
        <rFont val="Noto Sans CJK SC"/>
        <family val="2"/>
      </rPr>
      <t xml:space="preserve">软急停</t>
    </r>
    <r>
      <rPr>
        <sz val="10"/>
        <rFont val="Arial"/>
        <family val="0"/>
        <charset val="1"/>
      </rPr>
      <t xml:space="preserve">2/</t>
    </r>
    <r>
      <rPr>
        <sz val="10"/>
        <rFont val="Noto Sans CJK SC"/>
        <family val="2"/>
      </rPr>
      <t xml:space="preserve">开机阻尼</t>
    </r>
    <r>
      <rPr>
        <sz val="10"/>
        <rFont val="Arial"/>
        <family val="0"/>
        <charset val="1"/>
      </rPr>
      <t xml:space="preserve">3/</t>
    </r>
    <r>
      <rPr>
        <sz val="10"/>
        <rFont val="Noto Sans CJK SC"/>
        <family val="2"/>
      </rPr>
      <t xml:space="preserve">趴下</t>
    </r>
    <r>
      <rPr>
        <sz val="10"/>
        <rFont val="Arial"/>
        <family val="0"/>
        <charset val="1"/>
      </rPr>
      <t xml:space="preserve">4/</t>
    </r>
    <r>
      <rPr>
        <sz val="10"/>
        <rFont val="Noto Sans CJK SC"/>
        <family val="2"/>
      </rPr>
      <t xml:space="preserve">标准运动</t>
    </r>
    <r>
      <rPr>
        <sz val="10"/>
        <rFont val="Arial"/>
        <family val="0"/>
        <charset val="1"/>
      </rPr>
      <t xml:space="preserve">6/</t>
    </r>
    <r>
      <rPr>
        <sz val="10"/>
        <rFont val="Noto Sans CJK SC"/>
        <family val="2"/>
      </rPr>
      <t xml:space="preserve">敏捷运动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）、步态（基础</t>
    </r>
    <r>
      <rPr>
        <sz val="10"/>
        <rFont val="Arial"/>
        <family val="0"/>
        <charset val="1"/>
      </rPr>
      <t xml:space="preserve">1/</t>
    </r>
    <r>
      <rPr>
        <sz val="10"/>
        <rFont val="Noto Sans CJK SC"/>
        <family val="2"/>
      </rPr>
      <t xml:space="preserve">高台</t>
    </r>
    <r>
      <rPr>
        <sz val="10"/>
        <rFont val="Arial"/>
        <family val="0"/>
        <charset val="1"/>
      </rPr>
      <t xml:space="preserve">2/</t>
    </r>
    <r>
      <rPr>
        <sz val="10"/>
        <rFont val="Noto Sans CJK SC"/>
        <family val="2"/>
      </rPr>
      <t xml:space="preserve">平地</t>
    </r>
    <r>
      <rPr>
        <sz val="10"/>
        <rFont val="Arial"/>
        <family val="0"/>
        <charset val="1"/>
      </rPr>
      <t xml:space="preserve">12/</t>
    </r>
    <r>
      <rPr>
        <sz val="10"/>
        <rFont val="Noto Sans CJK SC"/>
        <family val="2"/>
      </rPr>
      <t xml:space="preserve">楼梯</t>
    </r>
    <r>
      <rPr>
        <sz val="10"/>
        <rFont val="Arial"/>
        <family val="0"/>
        <charset val="1"/>
      </rPr>
      <t xml:space="preserve">13/</t>
    </r>
    <r>
      <rPr>
        <sz val="10"/>
        <rFont val="Noto Sans CJK SC"/>
        <family val="2"/>
      </rPr>
      <t xml:space="preserve">楼梯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</si>
  <si>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✅ 底盘链路通（</t>
    </r>
    <r>
      <rPr>
        <sz val="10"/>
        <rFont val="Arial"/>
        <family val="0"/>
        <charset val="1"/>
      </rPr>
      <t xml:space="preserve">quadruped chassis link ok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10-26 </t>
    </r>
    <r>
      <rPr>
        <sz val="10"/>
        <rFont val="Noto Sans CJK SC"/>
        <family val="2"/>
      </rPr>
      <t xml:space="preserve">台架测过六个基本动作与站立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趴下</t>
    </r>
  </si>
  <si>
    <t xml:space="preserve">NAV-111</t>
  </si>
  <si>
    <t xml:space="preserve">使用模式决定速度指令的单位语义</t>
  </si>
  <si>
    <r>
      <rPr>
        <sz val="10"/>
        <rFont val="Noto Sans CJK SC"/>
        <family val="2"/>
      </rPr>
      <t xml:space="preserve">使用模式决定速度指令的单位语义：常规模式仅接受归一化 </t>
    </r>
    <r>
      <rPr>
        <sz val="10"/>
        <rFont val="Arial"/>
        <family val="0"/>
        <charset val="1"/>
      </rPr>
      <t xml:space="preserve">[-1,1] </t>
    </r>
    <r>
      <rPr>
        <sz val="10"/>
        <rFont val="Noto Sans CJK SC"/>
        <family val="2"/>
      </rPr>
      <t xml:space="preserve">轴指令；导航模式仅接受物理单位 </t>
    </r>
    <r>
      <rPr>
        <sz val="10"/>
        <rFont val="Arial"/>
        <family val="0"/>
        <charset val="1"/>
      </rPr>
      <t xml:space="preserve">m/s </t>
    </r>
    <r>
      <rPr>
        <sz val="10"/>
        <rFont val="Noto Sans CJK SC"/>
        <family val="2"/>
      </rPr>
      <t xml:space="preserve">真实轴指令。二者不可混用</t>
    </r>
  </si>
  <si>
    <t xml:space="preserve">NAV-112</t>
  </si>
  <si>
    <r>
      <rPr>
        <sz val="10"/>
        <rFont val="Noto Sans CJK SC"/>
        <family val="2"/>
      </rPr>
      <t xml:space="preserve">自主导航的正确组合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导航模式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敏捷运动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平地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楼梯步态</t>
    </r>
  </si>
  <si>
    <r>
      <rPr>
        <sz val="10"/>
        <rFont val="Noto Sans CJK SC"/>
        <family val="2"/>
      </rPr>
      <t xml:space="preserve">自主导航的正确组合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导航模式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敏捷运动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平地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楼梯步态。手册明确「敏捷运动模式步态速度响应性能较好，适用于导航等自主算法开发」</t>
    </r>
  </si>
  <si>
    <t xml:space="preserve">NAV-113</t>
  </si>
  <si>
    <t xml:space="preserve">运动状态与步态相互联动</t>
  </si>
  <si>
    <t xml:space="preserve">运动状态与步态相互联动：步态切换会自动切运动模式，反之亦然。切换后必须读回确认实际生效值，切换期间拒绝速度指令并输出零速</t>
  </si>
  <si>
    <t xml:space="preserve">NAV-114</t>
  </si>
  <si>
    <t xml:space="preserve">底盘在导航模式下不做任何速度限制（手册原文</t>
  </si>
  <si>
    <r>
      <rPr>
        <sz val="10"/>
        <rFont val="Noto Sans CJK SC"/>
        <family val="2"/>
      </rPr>
      <t xml:space="preserve">底盘在导航模式下不做任何速度限制（手册原文：「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下发的数据会原样传递给执行端，不会做额外的速度限制」）。因此 </t>
    </r>
    <r>
      <rPr>
        <sz val="10"/>
        <rFont val="Arial"/>
        <family val="0"/>
        <charset val="1"/>
      </rPr>
      <t xml:space="preserve">Tier 1 </t>
    </r>
    <r>
      <rPr>
        <sz val="10"/>
        <rFont val="Noto Sans CJK SC"/>
        <family val="2"/>
      </rPr>
      <t xml:space="preserve">硬限幅是全系统唯一的速度保护，其限幅值必须来自实测规格且禁止运行时修改</t>
    </r>
  </si>
  <si>
    <t xml:space="preserve">NAV-115</t>
  </si>
  <si>
    <t xml:space="preserve">六轴速度指令的有效性取决于步态</t>
  </si>
  <si>
    <r>
      <rPr>
        <sz val="10"/>
        <rFont val="Noto Sans CJK SC"/>
        <family val="2"/>
      </rPr>
      <t xml:space="preserve">六轴速度指令的有效性取决于步态：仅特殊步态下六轴（</t>
    </r>
    <r>
      <rPr>
        <sz val="10"/>
        <rFont val="Arial"/>
        <family val="0"/>
        <charset val="1"/>
      </rPr>
      <t xml:space="preserve">X/Y/Z/Roll/Pitch/Yaw</t>
    </r>
    <r>
      <rPr>
        <sz val="10"/>
        <rFont val="Noto Sans CJK SC"/>
        <family val="2"/>
      </rPr>
      <t xml:space="preserve">）全部有效，基础步态仅响应 </t>
    </r>
    <r>
      <rPr>
        <sz val="10"/>
        <rFont val="Arial"/>
        <family val="0"/>
        <charset val="1"/>
      </rPr>
      <t xml:space="preserve">X/Y/Yaw</t>
    </r>
    <r>
      <rPr>
        <sz val="10"/>
        <rFont val="Noto Sans CJK SC"/>
        <family val="2"/>
      </rPr>
      <t xml:space="preserve">。无效轴必须由 </t>
    </r>
    <r>
      <rPr>
        <sz val="10"/>
        <rFont val="Arial"/>
        <family val="0"/>
        <charset val="1"/>
      </rPr>
      <t xml:space="preserve">quadruped </t>
    </r>
    <r>
      <rPr>
        <sz val="10"/>
        <rFont val="Noto Sans CJK SC"/>
        <family val="2"/>
      </rPr>
      <t xml:space="preserve">置零，不得透传</t>
    </r>
  </si>
  <si>
    <t xml:space="preserve">NAV-116</t>
  </si>
  <si>
    <r>
      <rPr>
        <sz val="10"/>
        <rFont val="Noto Sans CJK SC"/>
        <family val="2"/>
      </rPr>
      <t xml:space="preserve">硬件急停 </t>
    </r>
    <r>
      <rPr>
        <sz val="10"/>
        <rFont val="Arial"/>
        <family val="0"/>
        <charset val="1"/>
      </rPr>
      <t xml:space="preserve">HES </t>
    </r>
    <r>
      <rPr>
        <sz val="10"/>
        <rFont val="Noto Sans CJK SC"/>
        <family val="2"/>
      </rPr>
      <t xml:space="preserve">可读（</t>
    </r>
    <r>
      <rPr>
        <sz val="10"/>
        <rFont val="Arial"/>
        <family val="0"/>
        <charset val="1"/>
      </rPr>
      <t xml:space="preserve">BasicStatus.HES</t>
    </r>
    <r>
      <rPr>
        <sz val="10"/>
        <rFont val="Noto Sans CJK SC"/>
        <family val="2"/>
      </rPr>
      <t xml:space="preserve">）—— 满足 </t>
    </r>
    <r>
      <rPr>
        <sz val="10"/>
        <rFont val="Arial"/>
        <family val="0"/>
        <charset val="1"/>
      </rPr>
      <t xml:space="preserve">NAV-63</t>
    </r>
    <r>
      <rPr>
        <sz val="10"/>
        <rFont val="Noto Sans CJK SC"/>
        <family val="2"/>
      </rPr>
      <t xml:space="preserve">「硬件急停必须存在」</t>
    </r>
  </si>
  <si>
    <r>
      <rPr>
        <sz val="10"/>
        <rFont val="Noto Sans CJK SC"/>
        <family val="2"/>
      </rPr>
      <t xml:space="preserve">硬件急停 </t>
    </r>
    <r>
      <rPr>
        <sz val="10"/>
        <rFont val="Arial"/>
        <family val="0"/>
        <charset val="1"/>
      </rPr>
      <t xml:space="preserve">HES </t>
    </r>
    <r>
      <rPr>
        <sz val="10"/>
        <rFont val="Noto Sans CJK SC"/>
        <family val="2"/>
      </rPr>
      <t xml:space="preserve">可读（</t>
    </r>
    <r>
      <rPr>
        <sz val="10"/>
        <rFont val="Arial"/>
        <family val="0"/>
        <charset val="1"/>
      </rPr>
      <t xml:space="preserve">BasicStatus.HES</t>
    </r>
    <r>
      <rPr>
        <sz val="10"/>
        <rFont val="Noto Sans CJK SC"/>
        <family val="2"/>
      </rPr>
      <t xml:space="preserve">）—— 满足 </t>
    </r>
    <r>
      <rPr>
        <sz val="10"/>
        <rFont val="Arial"/>
        <family val="0"/>
        <charset val="1"/>
      </rPr>
      <t xml:space="preserve">NAV-63</t>
    </r>
    <r>
      <rPr>
        <sz val="10"/>
        <rFont val="Noto Sans CJK SC"/>
        <family val="2"/>
      </rPr>
      <t xml:space="preserve">「硬件急停必须存在」。软件不可解除硬件急停</t>
    </r>
  </si>
  <si>
    <t xml:space="preserve">NAV-117</t>
  </si>
  <si>
    <r>
      <rPr>
        <sz val="10"/>
        <rFont val="Noto Sans CJK SC"/>
        <family val="2"/>
      </rPr>
      <t xml:space="preserve">底盘不提供原生里程计与 </t>
    </r>
    <r>
      <rPr>
        <sz val="10"/>
        <rFont val="Arial"/>
        <family val="0"/>
        <charset val="1"/>
      </rPr>
      <t xml:space="preserve">TF</t>
    </r>
    <r>
      <rPr>
        <sz val="10"/>
        <rFont val="Noto Sans CJK SC"/>
        <family val="2"/>
      </rPr>
      <t xml:space="preserve">，须由 </t>
    </r>
    <r>
      <rPr>
        <sz val="10"/>
        <rFont val="Arial"/>
        <family val="0"/>
        <charset val="1"/>
      </rPr>
      <t xml:space="preserve">quadruped </t>
    </r>
    <r>
      <rPr>
        <sz val="10"/>
        <rFont val="Noto Sans CJK SC"/>
        <family val="2"/>
      </rPr>
      <t xml:space="preserve">用运控状态（</t>
    </r>
    <r>
      <rPr>
        <sz val="10"/>
        <rFont val="Arial"/>
        <family val="0"/>
        <charset val="1"/>
      </rPr>
      <t xml:space="preserve">10 Hz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+ IMU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200 Hz</t>
    </r>
    <r>
      <rPr>
        <sz val="10"/>
        <rFont val="Noto Sans CJK SC"/>
        <family val="2"/>
      </rPr>
      <t xml:space="preserve">）积分推算</t>
    </r>
  </si>
  <si>
    <r>
      <rPr>
        <sz val="10"/>
        <rFont val="Noto Sans CJK SC"/>
        <family val="2"/>
      </rPr>
      <t xml:space="preserve">底盘不提供原生里程计与 </t>
    </r>
    <r>
      <rPr>
        <sz val="10"/>
        <rFont val="Arial"/>
        <family val="0"/>
        <charset val="1"/>
      </rPr>
      <t xml:space="preserve">TF</t>
    </r>
    <r>
      <rPr>
        <sz val="10"/>
        <rFont val="Noto Sans CJK SC"/>
        <family val="2"/>
      </rPr>
      <t xml:space="preserve">，须由 </t>
    </r>
    <r>
      <rPr>
        <sz val="10"/>
        <rFont val="Arial"/>
        <family val="0"/>
        <charset val="1"/>
      </rPr>
      <t xml:space="preserve">quadruped </t>
    </r>
    <r>
      <rPr>
        <sz val="10"/>
        <rFont val="Noto Sans CJK SC"/>
        <family val="2"/>
      </rPr>
      <t xml:space="preserve">用运控状态（</t>
    </r>
    <r>
      <rPr>
        <sz val="10"/>
        <rFont val="Arial"/>
        <family val="0"/>
        <charset val="1"/>
      </rPr>
      <t xml:space="preserve">10 Hz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+ IMU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200 Hz</t>
    </r>
    <r>
      <rPr>
        <sz val="10"/>
        <rFont val="Noto Sans CJK SC"/>
        <family val="2"/>
      </rPr>
      <t xml:space="preserve">）积分推算。协方差必须真实反映当前步态可信度</t>
    </r>
  </si>
  <si>
    <t xml:space="preserve">NAV-118</t>
  </si>
  <si>
    <t xml:space="preserve">心跳是状态上行的前提</t>
  </si>
  <si>
    <r>
      <rPr>
        <sz val="10"/>
        <rFont val="Noto Sans CJK SC"/>
        <family val="2"/>
      </rPr>
      <t xml:space="preserve">心跳是状态上行的前提：不以 ≥</t>
    </r>
    <r>
      <rPr>
        <sz val="10"/>
        <rFont val="Arial"/>
        <family val="0"/>
        <charset val="1"/>
      </rPr>
      <t xml:space="preserve">1 Hz </t>
    </r>
    <r>
      <rPr>
        <sz val="10"/>
        <rFont val="Noto Sans CJK SC"/>
        <family val="2"/>
      </rPr>
      <t xml:space="preserve">发送心跳，底盘不上报任何状态</t>
    </r>
  </si>
  <si>
    <t xml:space="preserve">NAV-120</t>
  </si>
  <si>
    <t xml:space="preserve">支持基本语音位移指令</t>
  </si>
  <si>
    <r>
      <rPr>
        <sz val="10"/>
        <rFont val="Noto Sans CJK SC"/>
        <family val="2"/>
      </rPr>
      <t xml:space="preserve">支持基本语音位移指令：前进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米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后退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米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左移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米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右移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米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左转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度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右转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度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转身</t>
    </r>
  </si>
  <si>
    <t xml:space="preserve">NAV-121</t>
  </si>
  <si>
    <r>
      <rPr>
        <sz val="10"/>
        <rFont val="Noto Sans CJK SC"/>
        <family val="2"/>
      </rPr>
      <t xml:space="preserve">底盘只接受速度指令，不接受位移指令 —— 相对位移必须由 </t>
    </r>
    <r>
      <rPr>
        <sz val="10"/>
        <rFont val="Arial"/>
        <family val="0"/>
        <charset val="1"/>
      </rPr>
      <t xml:space="preserve">XBRAIN </t>
    </r>
    <r>
      <rPr>
        <sz val="10"/>
        <rFont val="Noto Sans CJK SC"/>
        <family val="2"/>
      </rPr>
      <t xml:space="preserve">侧做里程计闭环执行，执行者为 </t>
    </r>
    <r>
      <rPr>
        <sz val="10"/>
        <rFont val="Arial"/>
        <family val="0"/>
        <charset val="1"/>
      </rPr>
      <t xml:space="preserve">P1 motion…</t>
    </r>
  </si>
  <si>
    <r>
      <rPr>
        <sz val="10"/>
        <rFont val="Noto Sans CJK SC"/>
        <family val="2"/>
      </rPr>
      <t xml:space="preserve">底盘只接受速度指令，不接受位移指令 —— 相对位移必须由 </t>
    </r>
    <r>
      <rPr>
        <sz val="10"/>
        <rFont val="Arial"/>
        <family val="0"/>
        <charset val="1"/>
      </rPr>
      <t xml:space="preserve">XBRAIN </t>
    </r>
    <r>
      <rPr>
        <sz val="10"/>
        <rFont val="Noto Sans CJK SC"/>
        <family val="2"/>
      </rPr>
      <t xml:space="preserve">侧做里程计闭环执行，执行者为 </t>
    </r>
    <r>
      <rPr>
        <sz val="10"/>
        <rFont val="Arial"/>
        <family val="0"/>
        <charset val="1"/>
      </rPr>
      <t xml:space="preserve">P1 motion</t>
    </r>
    <r>
      <rPr>
        <sz val="10"/>
        <rFont val="Noto Sans CJK SC"/>
        <family val="2"/>
      </rPr>
      <t xml:space="preserve">（新增行为源），不是 </t>
    </r>
    <r>
      <rPr>
        <sz val="10"/>
        <rFont val="Arial"/>
        <family val="0"/>
        <charset val="1"/>
      </rPr>
      <t xml:space="preserve">quadruped</t>
    </r>
  </si>
  <si>
    <t xml:space="preserve">NAV-122</t>
  </si>
  <si>
    <r>
      <rPr>
        <sz val="10"/>
        <rFont val="Noto Sans CJK SC"/>
        <family val="2"/>
      </rPr>
      <t xml:space="preserve">纯旋转委托 </t>
    </r>
    <r>
      <rPr>
        <sz val="10"/>
        <rFont val="Arial"/>
        <family val="0"/>
        <charset val="1"/>
      </rPr>
      <t xml:space="preserve">Nav2 spin</t>
    </r>
    <r>
      <rPr>
        <sz val="10"/>
        <rFont val="Noto Sans CJK SC"/>
        <family val="2"/>
      </rPr>
      <t xml:space="preserve">（经 </t>
    </r>
    <r>
      <rPr>
        <sz val="10"/>
        <rFont val="Arial"/>
        <family val="0"/>
        <charset val="1"/>
      </rPr>
      <t xml:space="preserve">behavior_proxy</t>
    </r>
    <r>
      <rPr>
        <sz val="10"/>
        <rFont val="Noto Sans CJK SC"/>
        <family val="2"/>
      </rPr>
      <t xml:space="preserve">），正好复用 </t>
    </r>
    <r>
      <rPr>
        <sz val="10"/>
        <rFont val="Arial"/>
        <family val="0"/>
        <charset val="1"/>
      </rPr>
      <t xml:space="preserve">NAV-92 </t>
    </r>
    <r>
      <rPr>
        <sz val="10"/>
        <rFont val="Noto Sans CJK SC"/>
        <family val="2"/>
      </rPr>
      <t xml:space="preserve">的高精度旋转能力</t>
    </r>
  </si>
  <si>
    <r>
      <rPr>
        <sz val="10"/>
        <rFont val="Noto Sans CJK SC"/>
        <family val="2"/>
      </rPr>
      <t xml:space="preserve">纯旋转委托 </t>
    </r>
    <r>
      <rPr>
        <sz val="10"/>
        <rFont val="Arial"/>
        <family val="0"/>
        <charset val="1"/>
      </rPr>
      <t xml:space="preserve">Nav2 spin</t>
    </r>
    <r>
      <rPr>
        <sz val="10"/>
        <rFont val="Noto Sans CJK SC"/>
        <family val="2"/>
      </rPr>
      <t xml:space="preserve">（经 </t>
    </r>
    <r>
      <rPr>
        <sz val="10"/>
        <rFont val="Arial"/>
        <family val="0"/>
        <charset val="1"/>
      </rPr>
      <t xml:space="preserve">behavior_proxy</t>
    </r>
    <r>
      <rPr>
        <sz val="10"/>
        <rFont val="Noto Sans CJK SC"/>
        <family val="2"/>
      </rPr>
      <t xml:space="preserve">），正好复用 </t>
    </r>
    <r>
      <rPr>
        <sz val="10"/>
        <rFont val="Arial"/>
        <family val="0"/>
        <charset val="1"/>
      </rPr>
      <t xml:space="preserve">NAV-92 </t>
    </r>
    <r>
      <rPr>
        <sz val="10"/>
        <rFont val="Noto Sans CJK SC"/>
        <family val="2"/>
      </rPr>
      <t xml:space="preserve">的高精度旋转能力；纯平移由 </t>
    </r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自实现（</t>
    </r>
    <r>
      <rPr>
        <sz val="10"/>
        <rFont val="Arial"/>
        <family val="0"/>
        <charset val="1"/>
      </rPr>
      <t xml:space="preserve">Nav2 backup </t>
    </r>
    <r>
      <rPr>
        <sz val="10"/>
        <rFont val="Noto Sans CJK SC"/>
        <family val="2"/>
      </rPr>
      <t xml:space="preserve">仅支持后退）</t>
    </r>
  </si>
  <si>
    <t xml:space="preserve">NAV-123</t>
  </si>
  <si>
    <r>
      <rPr>
        <sz val="10"/>
        <rFont val="Noto Sans CJK SC"/>
        <family val="2"/>
      </rPr>
      <t xml:space="preserve">相对位移仍须经 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避障、电子围栏裁剪、速度门 ——「前进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米」遇到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米处的障碍必须停</t>
    </r>
  </si>
  <si>
    <t xml:space="preserve">NAV-124</t>
  </si>
  <si>
    <r>
      <rPr>
        <sz val="10"/>
        <rFont val="Noto Sans CJK SC"/>
        <family val="2"/>
      </rPr>
      <t xml:space="preserve">到位判定依赖里程计，精度受 </t>
    </r>
    <r>
      <rPr>
        <sz val="10"/>
        <rFont val="Arial"/>
        <family val="0"/>
        <charset val="1"/>
      </rPr>
      <t xml:space="preserve">odom </t>
    </r>
    <r>
      <rPr>
        <sz val="10"/>
        <rFont val="Noto Sans CJK SC"/>
        <family val="2"/>
      </rPr>
      <t xml:space="preserve">漂移限制</t>
    </r>
  </si>
  <si>
    <r>
      <rPr>
        <sz val="10"/>
        <rFont val="Noto Sans CJK SC"/>
        <family val="2"/>
      </rPr>
      <t xml:space="preserve">到位判定依赖里程计，精度受 </t>
    </r>
    <r>
      <rPr>
        <sz val="10"/>
        <rFont val="Arial"/>
        <family val="0"/>
        <charset val="1"/>
      </rPr>
      <t xml:space="preserve">odom </t>
    </r>
    <r>
      <rPr>
        <sz val="10"/>
        <rFont val="Noto Sans CJK SC"/>
        <family val="2"/>
      </rPr>
      <t xml:space="preserve">漂移限制。必须上报实际执行量而非请求量</t>
    </r>
  </si>
  <si>
    <t xml:space="preserve">NAV-125</t>
  </si>
  <si>
    <t xml:space="preserve">超时未完成即中止并上报</t>
  </si>
  <si>
    <r>
      <rPr>
        <sz val="10"/>
        <rFont val="Noto Sans CJK SC"/>
        <family val="2"/>
      </rPr>
      <t xml:space="preserve">超时未完成即中止并上报；执行期间被更高优先级源（急停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围栏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云端任务）抢占时立即中止</t>
    </r>
  </si>
  <si>
    <t xml:space="preserve">NAV-126</t>
  </si>
  <si>
    <r>
      <rPr>
        <sz val="10"/>
        <rFont val="Noto Sans CJK SC"/>
        <family val="2"/>
      </rPr>
      <t xml:space="preserve">横移指令（左移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右移）需 </t>
    </r>
    <r>
      <rPr>
        <sz val="10"/>
        <rFont val="Arial"/>
        <family val="0"/>
        <charset val="1"/>
      </rPr>
      <t xml:space="preserve">spec.holonomic == true</t>
    </r>
  </si>
  <si>
    <r>
      <rPr>
        <sz val="10"/>
        <rFont val="Noto Sans CJK SC"/>
        <family val="2"/>
      </rPr>
      <t xml:space="preserve">横移指令（左移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右移）需 </t>
    </r>
    <r>
      <rPr>
        <sz val="10"/>
        <rFont val="Arial"/>
        <family val="0"/>
        <charset val="1"/>
      </rPr>
      <t xml:space="preserve">spec.holonomic == true</t>
    </r>
    <r>
      <rPr>
        <sz val="10"/>
        <rFont val="Noto Sans CJK SC"/>
        <family val="2"/>
      </rPr>
      <t xml:space="preserve">；履带车不支持时应拒绝并给出原因</t>
    </r>
  </si>
  <si>
    <r>
      <rPr>
        <sz val="10"/>
        <rFont val="Arial"/>
        <family val="0"/>
        <charset val="1"/>
      </rPr>
      <t xml:space="preserve">F1 / 3.11 </t>
    </r>
    <r>
      <rPr>
        <sz val="10"/>
        <rFont val="Noto Sans CJK SC"/>
        <family val="2"/>
      </rPr>
      <t xml:space="preserve">【新】平台版本约束</t>
    </r>
  </si>
  <si>
    <t xml:space="preserve">NAV-100</t>
  </si>
  <si>
    <r>
      <rPr>
        <sz val="10"/>
        <rFont val="Arial"/>
        <family val="0"/>
        <charset val="1"/>
      </rPr>
      <t xml:space="preserve">M20S </t>
    </r>
    <r>
      <rPr>
        <sz val="10"/>
        <rFont val="Noto Sans CJK SC"/>
        <family val="2"/>
      </rPr>
      <t xml:space="preserve">底盘运行 </t>
    </r>
    <r>
      <rPr>
        <sz val="10"/>
        <rFont val="Arial"/>
        <family val="0"/>
        <charset val="1"/>
      </rPr>
      <t xml:space="preserve">ROS 2 Jazzy</t>
    </r>
  </si>
  <si>
    <r>
      <rPr>
        <sz val="10"/>
        <rFont val="Arial"/>
        <family val="0"/>
        <charset val="1"/>
      </rPr>
      <t xml:space="preserve">M20S </t>
    </r>
    <r>
      <rPr>
        <sz val="10"/>
        <rFont val="Noto Sans CJK SC"/>
        <family val="2"/>
      </rPr>
      <t xml:space="preserve">底盘运行 </t>
    </r>
    <r>
      <rPr>
        <sz val="10"/>
        <rFont val="Arial"/>
        <family val="0"/>
        <charset val="1"/>
      </rPr>
      <t xml:space="preserve">ROS 2 Jazzy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XBRAIN </t>
    </r>
    <r>
      <rPr>
        <sz val="10"/>
        <rFont val="Noto Sans CJK SC"/>
        <family val="2"/>
      </rPr>
      <t xml:space="preserve">需跨设备订阅其前后雷达点云（</t>
    </r>
    <r>
      <rPr>
        <sz val="10"/>
        <rFont val="Arial"/>
        <family val="0"/>
        <charset val="1"/>
      </rPr>
      <t xml:space="preserve">NAV-31b</t>
    </r>
    <r>
      <rPr>
        <sz val="10"/>
        <rFont val="Noto Sans CJK SC"/>
        <family val="2"/>
      </rPr>
      <t xml:space="preserve">），因此 </t>
    </r>
    <r>
      <rPr>
        <sz val="10"/>
        <rFont val="Arial"/>
        <family val="0"/>
        <charset val="1"/>
      </rPr>
      <t xml:space="preserve">XBRAIN </t>
    </r>
    <r>
      <rPr>
        <sz val="10"/>
        <rFont val="Noto Sans CJK SC"/>
        <family val="2"/>
      </rPr>
      <t xml:space="preserve">侧必须同为 </t>
    </r>
    <r>
      <rPr>
        <sz val="10"/>
        <rFont val="Arial"/>
        <family val="0"/>
        <charset val="1"/>
      </rPr>
      <t xml:space="preserve">Jazzy
 2026-09-15 </t>
    </r>
    <r>
      <rPr>
        <sz val="10"/>
        <rFont val="Noto Sans CJK SC"/>
        <family val="2"/>
      </rPr>
      <t xml:space="preserve">回填（</t>
    </r>
    <r>
      <rPr>
        <sz val="10"/>
        <rFont val="Arial"/>
        <family val="0"/>
        <charset val="1"/>
      </rPr>
      <t xml:space="preserve">99 U74 · 2026-08-06 </t>
    </r>
    <r>
      <rPr>
        <sz val="10"/>
        <rFont val="Noto Sans CJK SC"/>
        <family val="2"/>
      </rPr>
      <t xml:space="preserve">用户拍板）：上装基线定为 </t>
    </r>
    <r>
      <rPr>
        <sz val="10"/>
        <rFont val="Arial"/>
        <family val="0"/>
        <charset val="1"/>
      </rPr>
      <t xml:space="preserve">Ubuntu 22.04 + ROS 2 Humble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ORIN </t>
    </r>
    <r>
      <rPr>
        <sz val="10"/>
        <rFont val="Noto Sans CJK SC"/>
        <family val="2"/>
      </rPr>
      <t xml:space="preserve">实测 </t>
    </r>
    <r>
      <rPr>
        <sz val="10"/>
        <rFont val="Arial"/>
        <family val="0"/>
        <charset val="1"/>
      </rPr>
      <t xml:space="preserve">22.04.5 / JetPack R36.4</t>
    </r>
    <r>
      <rPr>
        <sz val="10"/>
        <rFont val="Noto Sans CJK SC"/>
        <family val="2"/>
      </rPr>
      <t xml:space="preserve">），「</t>
    </r>
    <r>
      <rPr>
        <sz val="10"/>
        <rFont val="Arial"/>
        <family val="0"/>
        <charset val="1"/>
      </rPr>
      <t xml:space="preserve">XBRAIN </t>
    </r>
    <r>
      <rPr>
        <sz val="10"/>
        <rFont val="Noto Sans CJK SC"/>
        <family val="2"/>
      </rPr>
      <t xml:space="preserve">侧必须同为 </t>
    </r>
    <r>
      <rPr>
        <sz val="10"/>
        <rFont val="Arial"/>
        <family val="0"/>
        <charset val="1"/>
      </rPr>
      <t xml:space="preserve">Jazzy</t>
    </r>
    <r>
      <rPr>
        <sz val="10"/>
        <rFont val="Noto Sans CJK SC"/>
        <family val="2"/>
      </rPr>
      <t xml:space="preserve">」不成立 —— 跨版本只发生在 </t>
    </r>
    <r>
      <rPr>
        <sz val="10"/>
        <rFont val="Arial"/>
        <family val="0"/>
        <charset val="1"/>
      </rPr>
      <t xml:space="preserve">quadruped </t>
    </r>
    <r>
      <rPr>
        <sz val="10"/>
        <rFont val="Noto Sans CJK SC"/>
        <family val="2"/>
      </rPr>
      <t xml:space="preserve">的裸 </t>
    </r>
    <r>
      <rPr>
        <sz val="10"/>
        <rFont val="Arial"/>
        <family val="0"/>
        <charset val="1"/>
      </rPr>
      <t xml:space="preserve">DDS </t>
    </r>
    <r>
      <rPr>
        <sz val="10"/>
        <rFont val="Noto Sans CJK SC"/>
        <family val="2"/>
      </rPr>
      <t xml:space="preserve">订阅面（</t>
    </r>
    <r>
      <rPr>
        <sz val="10"/>
        <rFont val="Arial"/>
        <family val="0"/>
        <charset val="1"/>
      </rPr>
      <t xml:space="preserve">13 §2.4 T-CHS-1</t>
    </r>
    <r>
      <rPr>
        <sz val="10"/>
        <rFont val="Noto Sans CJK SC"/>
        <family val="2"/>
      </rPr>
      <t xml:space="preserve">，不经 </t>
    </r>
    <r>
      <rPr>
        <sz val="10"/>
        <rFont val="Arial"/>
        <family val="0"/>
        <charset val="1"/>
      </rPr>
      <t xml:space="preserve">rmw/rosidl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rclcpp </t>
    </r>
    <r>
      <rPr>
        <sz val="10"/>
        <rFont val="Noto Sans CJK SC"/>
        <family val="2"/>
      </rPr>
      <t xml:space="preserve">侧不跨版本；底盘 </t>
    </r>
    <r>
      <rPr>
        <sz val="10"/>
        <rFont val="Arial"/>
        <family val="0"/>
        <charset val="1"/>
      </rPr>
      <t xml:space="preserve">= Jazzy </t>
    </r>
    <r>
      <rPr>
        <sz val="10"/>
        <rFont val="Noto Sans CJK SC"/>
        <family val="2"/>
      </rPr>
      <t xml:space="preserve">已于 </t>
    </r>
    <r>
      <rPr>
        <sz val="10"/>
        <rFont val="Arial"/>
        <family val="0"/>
        <charset val="1"/>
      </rPr>
      <t xml:space="preserve">2026-09-14 </t>
    </r>
    <r>
      <rPr>
        <sz val="10"/>
        <rFont val="Noto Sans CJK SC"/>
        <family val="2"/>
      </rPr>
      <t xml:space="preserve">实测确认</t>
    </r>
  </si>
  <si>
    <r>
      <rPr>
        <sz val="10"/>
        <rFont val="Noto Sans CJK SC"/>
        <family val="2"/>
      </rPr>
      <t xml:space="preserve">审查：平台基线 </t>
    </r>
    <r>
      <rPr>
        <sz val="10"/>
        <rFont val="Arial"/>
        <family val="0"/>
        <charset val="1"/>
      </rPr>
      <t xml:space="preserve">D-45 </t>
    </r>
    <r>
      <rPr>
        <sz val="10"/>
        <rFont val="Noto Sans CJK SC"/>
        <family val="2"/>
      </rPr>
      <t xml:space="preserve">未拍板</t>
    </r>
  </si>
  <si>
    <t xml:space="preserve">NAV-101</t>
  </si>
  <si>
    <r>
      <rPr>
        <sz val="10"/>
        <rFont val="Arial"/>
        <family val="0"/>
        <charset val="1"/>
      </rPr>
      <t xml:space="preserve">ROS 2 </t>
    </r>
    <r>
      <rPr>
        <sz val="10"/>
        <rFont val="Noto Sans CJK SC"/>
        <family val="2"/>
      </rPr>
      <t xml:space="preserve">官方不支持跨发行版通信</t>
    </r>
  </si>
  <si>
    <r>
      <rPr>
        <sz val="10"/>
        <rFont val="Arial"/>
        <family val="0"/>
        <charset val="1"/>
      </rPr>
      <t xml:space="preserve">ROS 2 </t>
    </r>
    <r>
      <rPr>
        <sz val="10"/>
        <rFont val="Noto Sans CJK SC"/>
        <family val="2"/>
      </rPr>
      <t xml:space="preserve">官方不支持跨发行版通信。</t>
    </r>
    <r>
      <rPr>
        <sz val="10"/>
        <rFont val="Arial"/>
        <family val="0"/>
        <charset val="1"/>
      </rPr>
      <t xml:space="preserve">Humble </t>
    </r>
    <r>
      <rPr>
        <sz val="10"/>
        <rFont val="Noto Sans CJK SC"/>
        <family val="2"/>
      </rPr>
      <t xml:space="preserve">订阅 </t>
    </r>
    <r>
      <rPr>
        <sz val="10"/>
        <rFont val="Arial"/>
        <family val="0"/>
        <charset val="1"/>
      </rPr>
      <t xml:space="preserve">Jazzy </t>
    </r>
    <r>
      <rPr>
        <sz val="10"/>
        <rFont val="Noto Sans CJK SC"/>
        <family val="2"/>
      </rPr>
      <t xml:space="preserve">话题存在已记录故障（</t>
    </r>
    <r>
      <rPr>
        <sz val="10"/>
        <rFont val="Arial"/>
        <family val="0"/>
        <charset val="1"/>
      </rPr>
      <t xml:space="preserve">std::bad_alloc on deserializeROSmessage </t>
    </r>
    <r>
      <rPr>
        <sz val="10"/>
        <rFont val="Noto Sans CJK SC"/>
        <family val="2"/>
      </rPr>
      <t xml:space="preserve">导致内存耗尽），且点云为大消息，正好命中该场景</t>
    </r>
  </si>
  <si>
    <t xml:space="preserve">NAV-102</t>
  </si>
  <si>
    <t xml:space="preserve">平台基线</t>
  </si>
  <si>
    <r>
      <rPr>
        <sz val="10"/>
        <rFont val="Noto Sans CJK SC"/>
        <family val="2"/>
      </rPr>
      <t xml:space="preserve">平台基线：</t>
    </r>
    <r>
      <rPr>
        <sz val="10"/>
        <rFont val="Arial"/>
        <family val="0"/>
        <charset val="1"/>
      </rPr>
      <t xml:space="preserve">JetPack 7.2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Jetson Linux 39.2 / Ubuntu 24.04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+ ROS 2 Jazzy + CUDA 13.2.1 + TensorRT 10.16.2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Orin NX </t>
    </r>
    <r>
      <rPr>
        <sz val="10"/>
        <rFont val="Noto Sans CJK SC"/>
        <family val="2"/>
      </rPr>
      <t xml:space="preserve">已支持
 </t>
    </r>
    <r>
      <rPr>
        <sz val="10"/>
        <rFont val="Arial"/>
        <family val="0"/>
        <charset val="1"/>
      </rPr>
      <t xml:space="preserve">2026-09-15 </t>
    </r>
    <r>
      <rPr>
        <sz val="10"/>
        <rFont val="Noto Sans CJK SC"/>
        <family val="2"/>
      </rPr>
      <t xml:space="preserve">回填（</t>
    </r>
    <r>
      <rPr>
        <sz val="10"/>
        <rFont val="Arial"/>
        <family val="0"/>
        <charset val="1"/>
      </rPr>
      <t xml:space="preserve">U74</t>
    </r>
    <r>
      <rPr>
        <sz val="10"/>
        <rFont val="Noto Sans CJK SC"/>
        <family val="2"/>
      </rPr>
      <t xml:space="preserve">）：现行基线 </t>
    </r>
    <r>
      <rPr>
        <sz val="10"/>
        <rFont val="Arial"/>
        <family val="0"/>
        <charset val="1"/>
      </rPr>
      <t xml:space="preserve">= JetPack 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R36.4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/ Ubuntu 22.04 / ROS 2 Humble</t>
    </r>
    <r>
      <rPr>
        <sz val="10"/>
        <rFont val="Noto Sans CJK SC"/>
        <family val="2"/>
      </rPr>
      <t xml:space="preserve">；本行原值作为 </t>
    </r>
    <r>
      <rPr>
        <sz val="10"/>
        <rFont val="Arial"/>
        <family val="0"/>
        <charset val="1"/>
      </rPr>
      <t xml:space="preserve">24.04 </t>
    </r>
    <r>
      <rPr>
        <sz val="10"/>
        <rFont val="Noto Sans CJK SC"/>
        <family val="2"/>
      </rPr>
      <t xml:space="preserve">升级候选保留，升级前提仍是 </t>
    </r>
    <r>
      <rPr>
        <sz val="10"/>
        <rFont val="Arial"/>
        <family val="0"/>
        <charset val="1"/>
      </rPr>
      <t xml:space="preserve">NAV-105</t>
    </r>
  </si>
  <si>
    <t xml:space="preserve">NAV-103</t>
  </si>
  <si>
    <r>
      <rPr>
        <sz val="10"/>
        <rFont val="Noto Sans CJK SC"/>
        <family val="2"/>
      </rPr>
      <t xml:space="preserve">本项目不使用 </t>
    </r>
    <r>
      <rPr>
        <sz val="10"/>
        <rFont val="Arial"/>
        <family val="0"/>
        <charset val="1"/>
      </rPr>
      <t xml:space="preserve">Isaac ROS</t>
    </r>
    <r>
      <rPr>
        <sz val="10"/>
        <rFont val="Noto Sans CJK SC"/>
        <family val="2"/>
      </rPr>
      <t xml:space="preserve">，故</t>
    </r>
    <r>
      <rPr>
        <sz val="10"/>
        <rFont val="Arial"/>
        <family val="0"/>
        <charset val="1"/>
      </rPr>
      <t xml:space="preserve">"Isaac ROS 4.0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Jazzy</t>
    </r>
    <r>
      <rPr>
        <sz val="10"/>
        <rFont val="Noto Sans CJK SC"/>
        <family val="2"/>
      </rPr>
      <t xml:space="preserve">）不支持 </t>
    </r>
    <r>
      <rPr>
        <sz val="10"/>
        <rFont val="Arial"/>
        <family val="0"/>
        <charset val="1"/>
      </rPr>
      <t xml:space="preserve">Orin"</t>
    </r>
    <r>
      <rPr>
        <sz val="10"/>
        <rFont val="Noto Sans CJK SC"/>
        <family val="2"/>
      </rPr>
      <t xml:space="preserve">这一限制不适用 —— 这…</t>
    </r>
  </si>
  <si>
    <r>
      <rPr>
        <sz val="10"/>
        <rFont val="Noto Sans CJK SC"/>
        <family val="2"/>
      </rPr>
      <t xml:space="preserve">本项目不使用 </t>
    </r>
    <r>
      <rPr>
        <sz val="10"/>
        <rFont val="Arial"/>
        <family val="0"/>
        <charset val="1"/>
      </rPr>
      <t xml:space="preserve">Isaac ROS</t>
    </r>
    <r>
      <rPr>
        <sz val="10"/>
        <rFont val="Noto Sans CJK SC"/>
        <family val="2"/>
      </rPr>
      <t xml:space="preserve">，故</t>
    </r>
    <r>
      <rPr>
        <sz val="10"/>
        <rFont val="Arial"/>
        <family val="0"/>
        <charset val="1"/>
      </rPr>
      <t xml:space="preserve">"Isaac ROS 4.0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Jazzy</t>
    </r>
    <r>
      <rPr>
        <sz val="10"/>
        <rFont val="Noto Sans CJK SC"/>
        <family val="2"/>
      </rPr>
      <t xml:space="preserve">）不支持 </t>
    </r>
    <r>
      <rPr>
        <sz val="10"/>
        <rFont val="Arial"/>
        <family val="0"/>
        <charset val="1"/>
      </rPr>
      <t xml:space="preserve">Orin"</t>
    </r>
    <r>
      <rPr>
        <sz val="10"/>
        <rFont val="Noto Sans CJK SC"/>
        <family val="2"/>
      </rPr>
      <t xml:space="preserve">这一限制不适用 —— 这是升级可行的关键前提</t>
    </r>
  </si>
  <si>
    <t xml:space="preserve">NAV-104</t>
  </si>
  <si>
    <t xml:space="preserve">升级代价（确定发生）</t>
  </si>
  <si>
    <r>
      <rPr>
        <sz val="10"/>
        <rFont val="Noto Sans CJK SC"/>
        <family val="2"/>
      </rPr>
      <t xml:space="preserve">升级代价（确定发生）：</t>
    </r>
    <r>
      <rPr>
        <sz val="10"/>
        <rFont val="Arial"/>
        <family val="0"/>
        <charset val="1"/>
      </rPr>
      <t xml:space="preserve">TensorRT engine </t>
    </r>
    <r>
      <rPr>
        <sz val="10"/>
        <rFont val="Noto Sans CJK SC"/>
        <family val="2"/>
      </rPr>
      <t xml:space="preserve">全部重建（</t>
    </r>
    <r>
      <rPr>
        <sz val="10"/>
        <rFont val="Arial"/>
        <family val="0"/>
        <charset val="1"/>
      </rPr>
      <t xml:space="preserve">CUDA 13 / TRT 10.16 </t>
    </r>
    <r>
      <rPr>
        <sz val="10"/>
        <rFont val="Noto Sans CJK SC"/>
        <family val="2"/>
      </rPr>
      <t xml:space="preserve">不兼容旧 </t>
    </r>
    <r>
      <rPr>
        <sz val="10"/>
        <rFont val="Arial"/>
        <family val="0"/>
        <charset val="1"/>
      </rPr>
      <t xml:space="preserve">engine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T1–T8 </t>
    </r>
    <r>
      <rPr>
        <sz val="10"/>
        <rFont val="Noto Sans CJK SC"/>
        <family val="2"/>
      </rPr>
      <t xml:space="preserve">性能基线全部作废需重测</t>
    </r>
  </si>
  <si>
    <t xml:space="preserve">NAV-105</t>
  </si>
  <si>
    <t xml:space="preserve">升级前必须验证</t>
  </si>
  <si>
    <r>
      <rPr>
        <sz val="10"/>
        <rFont val="Noto Sans CJK SC"/>
        <family val="2"/>
      </rPr>
      <t xml:space="preserve">升级前必须验证：</t>
    </r>
    <r>
      <rPr>
        <sz val="10"/>
        <rFont val="Arial"/>
        <family val="0"/>
        <charset val="1"/>
      </rPr>
      <t xml:space="preserve">Orbbec Gemini 336L </t>
    </r>
    <r>
      <rPr>
        <sz val="10"/>
        <rFont val="Noto Sans CJK SC"/>
        <family val="2"/>
      </rPr>
      <t xml:space="preserve">驱动对 </t>
    </r>
    <r>
      <rPr>
        <sz val="10"/>
        <rFont val="Arial"/>
        <family val="0"/>
        <charset val="1"/>
      </rPr>
      <t xml:space="preserve">Jazzy + Ubuntu 24.04 + arm64 </t>
    </r>
    <r>
      <rPr>
        <sz val="10"/>
        <rFont val="Noto Sans CJK SC"/>
        <family val="2"/>
      </rPr>
      <t xml:space="preserve">的支持。此项不通过则升级方案不可行，需改用 </t>
    </r>
    <r>
      <rPr>
        <sz val="10"/>
        <rFont val="Arial"/>
        <family val="0"/>
        <charset val="1"/>
      </rPr>
      <t xml:space="preserve">Jazzy </t>
    </r>
    <r>
      <rPr>
        <sz val="10"/>
        <rFont val="Noto Sans CJK SC"/>
        <family val="2"/>
      </rPr>
      <t xml:space="preserve">侧车容器过渡（接口不变）</t>
    </r>
  </si>
  <si>
    <t xml:space="preserve">NAV-106</t>
  </si>
  <si>
    <t xml:space="preserve">跨版本边界为封闭集合</t>
  </si>
  <si>
    <r>
      <rPr>
        <sz val="10"/>
        <rFont val="Noto Sans CJK SC"/>
        <family val="2"/>
      </rPr>
      <t xml:space="preserve">跨版本边界为封闭集合：仅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底盘点云订阅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一条受影响。</t>
    </r>
    <r>
      <rPr>
        <sz val="10"/>
        <rFont val="Arial"/>
        <family val="0"/>
        <charset val="1"/>
      </rPr>
      <t xml:space="preserve">quadruped </t>
    </r>
    <r>
      <rPr>
        <sz val="10"/>
        <rFont val="Noto Sans CJK SC"/>
        <family val="2"/>
      </rPr>
      <t xml:space="preserve">走 </t>
    </r>
    <r>
      <rPr>
        <sz val="10"/>
        <rFont val="Arial"/>
        <family val="0"/>
        <charset val="1"/>
      </rPr>
      <t xml:space="preserve">JSON over Zenoh</t>
    </r>
    <r>
      <rPr>
        <sz val="10"/>
        <rFont val="Noto Sans CJK SC"/>
        <family val="2"/>
      </rPr>
      <t xml:space="preserve">、底盘摄像头走 </t>
    </r>
    <r>
      <rPr>
        <sz val="10"/>
        <rFont val="Arial"/>
        <family val="0"/>
        <charset val="1"/>
      </rPr>
      <t xml:space="preserve">RTSP</t>
    </r>
    <r>
      <rPr>
        <sz val="10"/>
        <rFont val="Noto Sans CJK SC"/>
        <family val="2"/>
      </rPr>
      <t xml:space="preserve">，两者均无 </t>
    </r>
    <r>
      <rPr>
        <sz val="10"/>
        <rFont val="Arial"/>
        <family val="0"/>
        <charset val="1"/>
      </rPr>
      <t xml:space="preserve">ROS </t>
    </r>
    <r>
      <rPr>
        <sz val="10"/>
        <rFont val="Noto Sans CJK SC"/>
        <family val="2"/>
      </rPr>
      <t xml:space="preserve">类型，天然跨版本</t>
    </r>
  </si>
  <si>
    <r>
      <rPr>
        <sz val="10"/>
        <rFont val="Arial"/>
        <family val="0"/>
        <charset val="1"/>
      </rPr>
      <t xml:space="preserve">F1 / 3.8 </t>
    </r>
    <r>
      <rPr>
        <sz val="10"/>
        <rFont val="Noto Sans CJK SC"/>
        <family val="2"/>
      </rPr>
      <t xml:space="preserve">速度与制动（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订正）</t>
    </r>
  </si>
  <si>
    <t xml:space="preserve">NAV-70</t>
  </si>
  <si>
    <r>
      <rPr>
        <sz val="10"/>
        <rFont val="Noto Sans CJK SC"/>
        <family val="2"/>
      </rPr>
      <t xml:space="preserve">底盘最高速度 </t>
    </r>
    <r>
      <rPr>
        <sz val="10"/>
        <rFont val="Arial"/>
        <family val="0"/>
        <charset val="1"/>
      </rPr>
      <t xml:space="preserve">9 m/s </t>
    </r>
    <r>
      <rPr>
        <sz val="10"/>
        <rFont val="Noto Sans CJK SC"/>
        <family val="2"/>
      </rPr>
      <t xml:space="preserve">作废（不加 </t>
    </r>
    <r>
      <rPr>
        <sz val="10"/>
        <rFont val="Arial"/>
        <family val="0"/>
        <charset val="1"/>
      </rPr>
      <t xml:space="preserve">-X</t>
    </r>
    <r>
      <rPr>
        <sz val="10"/>
        <rFont val="Noto Sans CJK SC"/>
        <family val="2"/>
      </rPr>
      <t xml:space="preserve">，改用 ＋ 保留原文，见下方说明） 主会话已合入 </t>
    </r>
    <r>
      <rPr>
        <sz val="10"/>
        <rFont val="Arial"/>
        <family val="0"/>
        <charset val="1"/>
      </rPr>
      <t xml:space="preserve">§3.8.1</t>
    </r>
  </si>
  <si>
    <t xml:space="preserve">NAV-71</t>
  </si>
  <si>
    <r>
      <rPr>
        <sz val="10"/>
        <rFont val="Noto Sans CJK SC"/>
        <family val="2"/>
      </rPr>
      <t xml:space="preserve">巡逻巡航速度 </t>
    </r>
    <r>
      <rPr>
        <sz val="10"/>
        <rFont val="Arial"/>
        <family val="0"/>
        <charset val="1"/>
      </rPr>
      <t xml:space="preserve">3–5 m/s </t>
    </r>
    <r>
      <rPr>
        <sz val="10"/>
        <rFont val="Noto Sans CJK SC"/>
        <family val="2"/>
      </rPr>
      <t xml:space="preserve">作废 → 拆为 </t>
    </r>
    <r>
      <rPr>
        <sz val="10"/>
        <rFont val="Arial"/>
        <family val="0"/>
        <charset val="1"/>
      </rPr>
      <t xml:space="preserve">NAV-70a</t>
    </r>
    <r>
      <rPr>
        <sz val="10"/>
        <rFont val="Noto Sans CJK SC"/>
        <family val="2"/>
      </rPr>
      <t xml:space="preserve">（无障碍 </t>
    </r>
    <r>
      <rPr>
        <sz val="10"/>
        <rFont val="Arial"/>
        <family val="0"/>
        <charset val="1"/>
      </rPr>
      <t xml:space="preserve">1.0–2.0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/ NAV-70b</t>
    </r>
    <r>
      <rPr>
        <sz val="10"/>
        <rFont val="Noto Sans CJK SC"/>
        <family val="2"/>
      </rPr>
      <t xml:space="preserve">（有障碍 </t>
    </r>
    <r>
      <rPr>
        <sz val="10"/>
        <rFont val="Arial"/>
        <family val="0"/>
        <charset val="1"/>
      </rPr>
      <t xml:space="preserve">0.2…</t>
    </r>
  </si>
  <si>
    <r>
      <rPr>
        <sz val="10"/>
        <rFont val="Noto Sans CJK SC"/>
        <family val="2"/>
      </rPr>
      <t xml:space="preserve">巡逻巡航速度 </t>
    </r>
    <r>
      <rPr>
        <sz val="10"/>
        <rFont val="Arial"/>
        <family val="0"/>
        <charset val="1"/>
      </rPr>
      <t xml:space="preserve">3–5 m/s </t>
    </r>
    <r>
      <rPr>
        <sz val="10"/>
        <rFont val="Noto Sans CJK SC"/>
        <family val="2"/>
      </rPr>
      <t xml:space="preserve">作废 → 拆为 </t>
    </r>
    <r>
      <rPr>
        <sz val="10"/>
        <rFont val="Arial"/>
        <family val="0"/>
        <charset val="1"/>
      </rPr>
      <t xml:space="preserve">NAV-70a</t>
    </r>
    <r>
      <rPr>
        <sz val="10"/>
        <rFont val="Noto Sans CJK SC"/>
        <family val="2"/>
      </rPr>
      <t xml:space="preserve">（无障碍 </t>
    </r>
    <r>
      <rPr>
        <sz val="10"/>
        <rFont val="Arial"/>
        <family val="0"/>
        <charset val="1"/>
      </rPr>
      <t xml:space="preserve">1.0–2.0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/ NAV-70b</t>
    </r>
    <r>
      <rPr>
        <sz val="10"/>
        <rFont val="Noto Sans CJK SC"/>
        <family val="2"/>
      </rPr>
      <t xml:space="preserve">（有障碍 </t>
    </r>
    <r>
      <rPr>
        <sz val="10"/>
        <rFont val="Arial"/>
        <family val="0"/>
        <charset val="1"/>
      </rPr>
      <t xml:space="preserve">0.2–0.5</t>
    </r>
    <r>
      <rPr>
        <sz val="10"/>
        <rFont val="Noto Sans CJK SC"/>
        <family val="2"/>
      </rPr>
      <t xml:space="preserve">） 主会话已合入</t>
    </r>
  </si>
  <si>
    <r>
      <rPr>
        <sz val="10"/>
        <rFont val="Arial"/>
        <family val="0"/>
        <charset val="1"/>
      </rPr>
      <t xml:space="preserve">F2 / 4.2 </t>
    </r>
    <r>
      <rPr>
        <sz val="10"/>
        <rFont val="Noto Sans CJK SC"/>
        <family val="2"/>
      </rPr>
      <t xml:space="preserve">模式关系规则</t>
    </r>
  </si>
  <si>
    <t xml:space="preserve">VOI-01</t>
  </si>
  <si>
    <r>
      <rPr>
        <sz val="10"/>
        <rFont val="Arial"/>
        <family val="0"/>
        <charset val="1"/>
      </rPr>
      <t xml:space="preserve">A / B / D </t>
    </r>
    <r>
      <rPr>
        <sz val="10"/>
        <rFont val="Noto Sans CJK SC"/>
        <family val="2"/>
      </rPr>
      <t xml:space="preserve">互斥，且为抢占式互斥（非显式切换）</t>
    </r>
  </si>
  <si>
    <r>
      <rPr>
        <sz val="10"/>
        <rFont val="Noto Sans CJK SC"/>
        <family val="2"/>
      </rPr>
      <t xml:space="preserve">【真机】按模式进出路径用本地语音 </t>
    </r>
    <r>
      <rPr>
        <sz val="10"/>
        <rFont val="Arial"/>
        <family val="0"/>
        <charset val="1"/>
      </rPr>
      <t xml:space="preserve">/ commx </t>
    </r>
    <r>
      <rPr>
        <sz val="10"/>
        <rFont val="Noto Sans CJK SC"/>
        <family val="2"/>
      </rPr>
      <t xml:space="preserve">文本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云端 </t>
    </r>
    <r>
      <rPr>
        <sz val="10"/>
        <rFont val="Arial"/>
        <family val="0"/>
        <charset val="1"/>
      </rPr>
      <t xml:space="preserve">Qt </t>
    </r>
    <r>
      <rPr>
        <sz val="10"/>
        <rFont val="Noto Sans CJK SC"/>
        <family val="2"/>
      </rPr>
      <t xml:space="preserve">触发，核对 </t>
    </r>
    <r>
      <rPr>
        <sz val="10"/>
        <rFont val="Arial"/>
        <family val="0"/>
        <charset val="1"/>
      </rPr>
      <t xml:space="preserve">state/mode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cmd/mode/ack</t>
    </r>
    <r>
      <rPr>
        <sz val="10"/>
        <rFont val="Noto Sans CJK SC"/>
        <family val="2"/>
      </rPr>
      <t xml:space="preserve">、喇叭与麦克风门控（</t>
    </r>
    <r>
      <rPr>
        <sz val="10"/>
        <rFont val="Arial"/>
        <family val="0"/>
        <charset val="1"/>
      </rPr>
      <t xml:space="preserve">state/audio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payload /status </t>
    </r>
    <r>
      <rPr>
        <sz val="10"/>
        <rFont val="Noto Sans CJK SC"/>
        <family val="2"/>
      </rPr>
      <t xml:space="preserve">与现场听感。</t>
    </r>
  </si>
  <si>
    <r>
      <rPr>
        <sz val="10"/>
        <rFont val="Arial"/>
        <family val="0"/>
        <charset val="1"/>
      </rPr>
      <t xml:space="preserve">🟡 B&lt;-&gt;D </t>
    </r>
    <r>
      <rPr>
        <sz val="10"/>
        <rFont val="Noto Sans CJK SC"/>
        <family val="2"/>
      </rPr>
      <t xml:space="preserve">同锁换源有单测与变异体；真机做过 </t>
    </r>
    <r>
      <rPr>
        <sz val="10"/>
        <rFont val="Arial"/>
        <family val="0"/>
        <charset val="1"/>
      </rPr>
      <t xml:space="preserve">idle&lt;-&gt;B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idle&lt;-&gt;D</t>
    </r>
  </si>
  <si>
    <t xml:space="preserve">VOI-02</t>
  </si>
  <si>
    <r>
      <rPr>
        <sz val="10"/>
        <rFont val="Arial"/>
        <family val="0"/>
        <charset val="1"/>
      </rPr>
      <t xml:space="preserve">A / C / E </t>
    </r>
    <r>
      <rPr>
        <sz val="10"/>
        <rFont val="Noto Sans CJK SC"/>
        <family val="2"/>
      </rPr>
      <t xml:space="preserve">并存（三个通道常驻），但同一时刻只有一个会话有效</t>
    </r>
  </si>
  <si>
    <t xml:space="preserve">🟡 未核</t>
  </si>
  <si>
    <t xml:space="preserve">VOI-03</t>
  </si>
  <si>
    <r>
      <rPr>
        <sz val="10"/>
        <rFont val="Arial"/>
        <family val="0"/>
        <charset val="1"/>
      </rPr>
      <t xml:space="preserve">A / C / E </t>
    </r>
    <r>
      <rPr>
        <sz val="10"/>
        <rFont val="Noto Sans CJK SC"/>
        <family val="2"/>
      </rPr>
      <t xml:space="preserve">优先级</t>
    </r>
  </si>
  <si>
    <r>
      <rPr>
        <sz val="10"/>
        <rFont val="Arial"/>
        <family val="0"/>
        <charset val="1"/>
      </rPr>
      <t xml:space="preserve">A / C / E </t>
    </r>
    <r>
      <rPr>
        <sz val="10"/>
        <rFont val="Noto Sans CJK SC"/>
        <family val="2"/>
      </rPr>
      <t xml:space="preserve">优先级：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（云端） </t>
    </r>
    <r>
      <rPr>
        <sz val="10"/>
        <rFont val="Arial"/>
        <family val="0"/>
        <charset val="1"/>
      </rPr>
      <t xml:space="preserve">&gt; E</t>
    </r>
    <r>
      <rPr>
        <sz val="10"/>
        <rFont val="Noto Sans CJK SC"/>
        <family val="2"/>
      </rPr>
      <t xml:space="preserve">（微信） </t>
    </r>
    <r>
      <rPr>
        <sz val="10"/>
        <rFont val="Arial"/>
        <family val="0"/>
        <charset val="1"/>
      </rPr>
      <t xml:space="preserve">&gt; A</t>
    </r>
    <r>
      <rPr>
        <sz val="10"/>
        <rFont val="Noto Sans CJK SC"/>
        <family val="2"/>
      </rPr>
      <t xml:space="preserve">（现场）</t>
    </r>
  </si>
  <si>
    <t xml:space="preserve">VOI-04</t>
  </si>
  <si>
    <r>
      <rPr>
        <sz val="10"/>
        <rFont val="Arial"/>
        <family val="0"/>
        <charset val="1"/>
      </rPr>
      <t xml:space="preserve">A / C / E </t>
    </r>
    <r>
      <rPr>
        <sz val="10"/>
        <rFont val="Noto Sans CJK SC"/>
        <family val="2"/>
      </rPr>
      <t xml:space="preserve">为相互独立的会话（独立 </t>
    </r>
    <r>
      <rPr>
        <sz val="10"/>
        <rFont val="Arial"/>
        <family val="0"/>
        <charset val="1"/>
      </rPr>
      <t xml:space="preserve">session</t>
    </r>
    <r>
      <rPr>
        <sz val="10"/>
        <rFont val="Noto Sans CJK SC"/>
        <family val="2"/>
      </rPr>
      <t xml:space="preserve">），不共享对话上下文</t>
    </r>
  </si>
  <si>
    <t xml:space="preserve">VOI-05</t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</si>
  <si>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模式下云端语音无法下达控制任务指令（云端麦克风此刻被征用为广播源，音频直通喇叭不进 </t>
    </r>
    <r>
      <rPr>
        <sz val="10"/>
        <rFont val="Arial"/>
        <family val="0"/>
        <charset val="1"/>
      </rPr>
      <t xml:space="preserve">ASR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</si>
  <si>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🟡 p4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模式丢弃云端语音（代码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单测），真机未单独核</t>
    </r>
  </si>
  <si>
    <r>
      <rPr>
        <sz val="10"/>
        <rFont val="Arial"/>
        <family val="0"/>
        <charset val="1"/>
      </rPr>
      <t xml:space="preserve">F2 / 4.4 A </t>
    </r>
    <r>
      <rPr>
        <sz val="10"/>
        <rFont val="Noto Sans CJK SC"/>
        <family val="2"/>
      </rPr>
      <t xml:space="preserve">模式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现场对话</t>
    </r>
  </si>
  <si>
    <t xml:space="preserve">VOI-10</t>
  </si>
  <si>
    <r>
      <rPr>
        <sz val="10"/>
        <rFont val="Noto Sans CJK SC"/>
        <family val="2"/>
      </rPr>
      <t xml:space="preserve">通过本地 </t>
    </r>
    <r>
      <rPr>
        <sz val="10"/>
        <rFont val="Arial"/>
        <family val="0"/>
        <charset val="1"/>
      </rPr>
      <t xml:space="preserve">USB </t>
    </r>
    <r>
      <rPr>
        <sz val="10"/>
        <rFont val="Noto Sans CJK SC"/>
        <family val="2"/>
      </rPr>
      <t xml:space="preserve">麦克风接收现场人员语音（ 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复原为生效表述</t>
    </r>
  </si>
  <si>
    <r>
      <rPr>
        <sz val="10"/>
        <rFont val="Noto Sans CJK SC"/>
        <family val="2"/>
      </rPr>
      <t xml:space="preserve">通过本地 </t>
    </r>
    <r>
      <rPr>
        <sz val="10"/>
        <rFont val="Arial"/>
        <family val="0"/>
        <charset val="1"/>
      </rPr>
      <t xml:space="preserve">USB </t>
    </r>
    <r>
      <rPr>
        <sz val="10"/>
        <rFont val="Noto Sans CJK SC"/>
        <family val="2"/>
      </rPr>
      <t xml:space="preserve">麦克风接收现场人员语音（ 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复原为生效表述；</t>
    </r>
    <r>
      <rPr>
        <sz val="10"/>
        <rFont val="Arial"/>
        <family val="0"/>
        <charset val="1"/>
      </rPr>
      <t xml:space="preserve">2026-07-25 </t>
    </r>
    <r>
      <rPr>
        <sz val="10"/>
        <rFont val="Noto Sans CJK SC"/>
        <family val="2"/>
      </rPr>
      <t xml:space="preserve">的「作废重写」本身是错的，见本节末订正说明）。
 实测规格（主会话 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ORIN </t>
    </r>
    <r>
      <rPr>
        <sz val="10"/>
        <rFont val="Noto Sans CJK SC"/>
        <family val="2"/>
      </rPr>
      <t xml:space="preserve">上探测）：</t>
    </r>
    <r>
      <rPr>
        <sz val="10"/>
        <rFont val="Arial"/>
        <family val="0"/>
        <charset val="1"/>
      </rPr>
      <t xml:space="preserve">USB PnP Audio Device — JMTek, LLC. 0c76:161f · ALSA card 0, device 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hw:0,0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· USB </t>
    </r>
    <r>
      <rPr>
        <sz val="10"/>
        <rFont val="Noto Sans CJK SC"/>
        <family val="2"/>
      </rPr>
      <t xml:space="preserve">路径 </t>
    </r>
    <r>
      <rPr>
        <sz val="10"/>
        <rFont val="Arial"/>
        <family val="0"/>
        <charset val="1"/>
      </rPr>
      <t xml:space="preserve">usb-3610000.usb-2.1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full speed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· S16_LE / </t>
    </r>
    <r>
      <rPr>
        <sz val="10"/>
        <rFont val="Noto Sans CJK SC"/>
        <family val="2"/>
      </rPr>
      <t xml:space="preserve">单声道 </t>
    </r>
    <r>
      <rPr>
        <sz val="10"/>
        <rFont val="Arial"/>
        <family val="0"/>
        <charset val="1"/>
      </rPr>
      <t xml:space="preserve">/ 48000 Hz</t>
    </r>
    <r>
      <rPr>
        <sz val="10"/>
        <rFont val="Noto Sans CJK SC"/>
        <family val="2"/>
      </rPr>
      <t xml:space="preserve">（唯一采样率）。
 链路：</t>
    </r>
    <r>
      <rPr>
        <sz val="10"/>
        <rFont val="Arial"/>
        <family val="0"/>
        <charset val="1"/>
      </rPr>
      <t xml:space="preserve">USB MIC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48 k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p2_core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audio_io</t>
    </r>
    <r>
      <rPr>
        <sz val="10"/>
        <rFont val="Noto Sans CJK SC"/>
        <family val="2"/>
      </rPr>
      <t xml:space="preserve">，声卡独占者，见 </t>
    </r>
    <r>
      <rPr>
        <sz val="10"/>
        <rFont val="Arial"/>
        <family val="0"/>
        <charset val="1"/>
      </rPr>
      <t xml:space="preserve">11 RT-A1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3:1 </t>
    </r>
    <r>
      <rPr>
        <sz val="10"/>
        <rFont val="Noto Sans CJK SC"/>
        <family val="2"/>
      </rPr>
      <t xml:space="preserve">抽取到 </t>
    </r>
    <r>
      <rPr>
        <sz val="10"/>
        <rFont val="Arial"/>
        <family val="0"/>
        <charset val="1"/>
      </rPr>
      <t xml:space="preserve">16 k → rt/audio/mic → P4 ASR</t>
    </r>
    <r>
      <rPr>
        <sz val="10"/>
        <rFont val="Noto Sans CJK SC"/>
        <family val="2"/>
      </rPr>
      <t xml:space="preserve">。
 不成立于本期 —— </t>
    </r>
    <r>
      <rPr>
        <sz val="10"/>
        <rFont val="Arial"/>
        <family val="0"/>
        <charset val="1"/>
      </rPr>
      <t xml:space="preserve">GZH-2 </t>
    </r>
    <r>
      <rPr>
        <sz val="10"/>
        <rFont val="Noto Sans CJK SC"/>
        <family val="2"/>
      </rPr>
      <t xml:space="preserve">内置 </t>
    </r>
    <r>
      <rPr>
        <sz val="10"/>
        <rFont val="Arial"/>
        <family val="0"/>
        <charset val="1"/>
      </rPr>
      <t xml:space="preserve">MIC </t>
    </r>
    <r>
      <rPr>
        <sz val="10"/>
        <rFont val="Noto Sans CJK SC"/>
        <family val="2"/>
      </rPr>
      <t xml:space="preserve">真实存在且 </t>
    </r>
    <r>
      <rPr>
        <sz val="10"/>
        <rFont val="Arial"/>
        <family val="0"/>
        <charset val="1"/>
      </rPr>
      <t xml:space="preserve">[40] </t>
    </r>
    <r>
      <rPr>
        <sz val="10"/>
        <rFont val="Noto Sans CJK SC"/>
        <family val="2"/>
      </rPr>
      <t xml:space="preserve">已验证，但不接入功能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的语音闭环，见 </t>
    </r>
    <r>
      <rPr>
        <sz val="10"/>
        <rFont val="Arial"/>
        <family val="0"/>
        <charset val="1"/>
      </rPr>
      <t xml:space="preserve">VOI-10b</t>
    </r>
  </si>
  <si>
    <r>
      <rPr>
        <sz val="10"/>
        <rFont val="Arial"/>
        <family val="0"/>
        <charset val="1"/>
      </rPr>
      <t xml:space="preserve">✅ 10-24 </t>
    </r>
    <r>
      <rPr>
        <sz val="10"/>
        <rFont val="Noto Sans CJK SC"/>
        <family val="2"/>
      </rPr>
      <t xml:space="preserve">真机语音测试；瓶颈：麦克风被 </t>
    </r>
    <r>
      <rPr>
        <sz val="10"/>
        <rFont val="Arial"/>
        <family val="0"/>
        <charset val="1"/>
      </rPr>
      <t xml:space="preserve">IP67 </t>
    </r>
    <r>
      <rPr>
        <sz val="10"/>
        <rFont val="Noto Sans CJK SC"/>
        <family val="2"/>
      </rPr>
      <t xml:space="preserve">结构件闷住，识别率受限</t>
    </r>
  </si>
  <si>
    <t xml:space="preserve">VOI-10a</t>
  </si>
  <si>
    <t xml:space="preserve">采样率约束与重采样</t>
  </si>
  <si>
    <r>
      <rPr>
        <sz val="10"/>
        <rFont val="Noto Sans CJK SC"/>
        <family val="2"/>
      </rPr>
      <t xml:space="preserve">【新 </t>
    </r>
    <r>
      <rPr>
        <sz val="10"/>
        <rFont val="Arial"/>
        <family val="0"/>
        <charset val="1"/>
      </rPr>
      <t xml:space="preserve">· 2026-07-31</t>
    </r>
    <r>
      <rPr>
        <sz val="10"/>
        <rFont val="Noto Sans CJK SC"/>
        <family val="2"/>
      </rPr>
      <t xml:space="preserve">】采样率约束与重采样：</t>
    </r>
    <r>
      <rPr>
        <sz val="10"/>
        <rFont val="Arial"/>
        <family val="0"/>
        <charset val="1"/>
      </rPr>
      <t xml:space="preserve">USB MIC </t>
    </r>
    <r>
      <rPr>
        <sz val="10"/>
        <rFont val="Noto Sans CJK SC"/>
        <family val="2"/>
      </rPr>
      <t xml:space="preserve">硬件只支持 </t>
    </r>
    <r>
      <rPr>
        <sz val="10"/>
        <rFont val="Arial"/>
        <family val="0"/>
        <charset val="1"/>
      </rPr>
      <t xml:space="preserve">48000 Hz</t>
    </r>
    <r>
      <rPr>
        <sz val="10"/>
        <rFont val="Noto Sans CJK SC"/>
        <family val="2"/>
      </rPr>
      <t xml:space="preserve">，无 </t>
    </r>
    <r>
      <rPr>
        <sz val="10"/>
        <rFont val="Arial"/>
        <family val="0"/>
        <charset val="1"/>
      </rPr>
      <t xml:space="preserve">16 kHz </t>
    </r>
    <r>
      <rPr>
        <sz val="10"/>
        <rFont val="Noto Sans CJK SC"/>
        <family val="2"/>
      </rPr>
      <t xml:space="preserve">直采（请求 </t>
    </r>
    <r>
      <rPr>
        <sz val="10"/>
        <rFont val="Arial"/>
        <family val="0"/>
        <charset val="1"/>
      </rPr>
      <t xml:space="preserve">16 k </t>
    </r>
    <r>
      <rPr>
        <sz val="10"/>
        <rFont val="Noto Sans CJK SC"/>
        <family val="2"/>
      </rPr>
      <t xml:space="preserve">会被 </t>
    </r>
    <r>
      <rPr>
        <sz val="10"/>
        <rFont val="Arial"/>
        <family val="0"/>
        <charset val="1"/>
      </rPr>
      <t xml:space="preserve">ALSA </t>
    </r>
    <r>
      <rPr>
        <sz val="10"/>
        <rFont val="Noto Sans CJK SC"/>
        <family val="2"/>
      </rPr>
      <t xml:space="preserve">拉回 </t>
    </r>
    <r>
      <rPr>
        <sz val="10"/>
        <rFont val="Arial"/>
        <family val="0"/>
        <charset val="1"/>
      </rPr>
      <t xml:space="preserve">48 k </t>
    </r>
    <r>
      <rPr>
        <sz val="10"/>
        <rFont val="Noto Sans CJK SC"/>
        <family val="2"/>
      </rPr>
      <t xml:space="preserve">并告警 </t>
    </r>
    <r>
      <rPr>
        <sz val="10"/>
        <rFont val="Arial"/>
        <family val="0"/>
        <charset val="1"/>
      </rPr>
      <t xml:space="preserve">rate is not accurate (requested = 16000Hz, got = 48000Hz)</t>
    </r>
    <r>
      <rPr>
        <sz val="10"/>
        <rFont val="Noto Sans CJK SC"/>
        <family val="2"/>
      </rPr>
      <t xml:space="preserve">）；而 </t>
    </r>
    <r>
      <rPr>
        <sz val="10"/>
        <rFont val="Arial"/>
        <family val="0"/>
        <charset val="1"/>
      </rPr>
      <t xml:space="preserve">ASR </t>
    </r>
    <r>
      <rPr>
        <sz val="10"/>
        <rFont val="Noto Sans CJK SC"/>
        <family val="2"/>
      </rPr>
      <t xml:space="preserve">侧要求 </t>
    </r>
    <r>
      <rPr>
        <sz val="10"/>
        <rFont val="Arial"/>
        <family val="0"/>
        <charset val="1"/>
      </rPr>
      <t xml:space="preserve">16 kHz · </t>
    </r>
    <r>
      <rPr>
        <sz val="10"/>
        <rFont val="Noto Sans CJK SC"/>
        <family val="2"/>
      </rPr>
      <t xml:space="preserve">单声道 </t>
    </r>
    <r>
      <rPr>
        <sz val="10"/>
        <rFont val="Arial"/>
        <family val="0"/>
        <charset val="1"/>
      </rPr>
      <t xml:space="preserve">· s16le PCM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11 AS-2</t>
    </r>
    <r>
      <rPr>
        <sz val="10"/>
        <rFont val="Noto Sans CJK SC"/>
        <family val="2"/>
      </rPr>
      <t xml:space="preserve">）⇒ 音频输入链路必须做 </t>
    </r>
    <r>
      <rPr>
        <sz val="10"/>
        <rFont val="Arial"/>
        <family val="0"/>
        <charset val="1"/>
      </rPr>
      <t xml:space="preserve">48 k → 16 k </t>
    </r>
    <r>
      <rPr>
        <sz val="10"/>
        <rFont val="Noto Sans CJK SC"/>
        <family val="2"/>
      </rPr>
      <t xml:space="preserve">重采样。
 </t>
    </r>
    <r>
      <rPr>
        <sz val="10"/>
        <rFont val="Arial"/>
        <family val="0"/>
        <charset val="1"/>
      </rPr>
      <t xml:space="preserve">48000 / 16000 = 3</t>
    </r>
    <r>
      <rPr>
        <sz val="10"/>
        <rFont val="Noto Sans CJK SC"/>
        <family val="2"/>
      </rPr>
      <t xml:space="preserve">，整数倍 ⇒ 只需干净的 </t>
    </r>
    <r>
      <rPr>
        <sz val="10"/>
        <rFont val="Arial"/>
        <family val="0"/>
        <charset val="1"/>
      </rPr>
      <t xml:space="preserve">3:1 </t>
    </r>
    <r>
      <rPr>
        <sz val="10"/>
        <rFont val="Noto Sans CJK SC"/>
        <family val="2"/>
      </rPr>
      <t xml:space="preserve">抽取（</t>
    </r>
    <r>
      <rPr>
        <sz val="10"/>
        <rFont val="Arial"/>
        <family val="0"/>
        <charset val="1"/>
      </rPr>
      <t xml:space="preserve">decimation</t>
    </r>
    <r>
      <rPr>
        <sz val="10"/>
        <rFont val="Noto Sans CJK SC"/>
        <family val="2"/>
      </rPr>
      <t xml:space="preserve">）＋ 抗混叠低通，不需要任意比率重采样器。
 帧长对齐：</t>
    </r>
    <r>
      <rPr>
        <sz val="10"/>
        <rFont val="Arial"/>
        <family val="0"/>
        <charset val="1"/>
      </rPr>
      <t xml:space="preserve">20 ms @48 k = 960 </t>
    </r>
    <r>
      <rPr>
        <sz val="10"/>
        <rFont val="Noto Sans CJK SC"/>
        <family val="2"/>
      </rPr>
      <t xml:space="preserve">样本（落在 </t>
    </r>
    <r>
      <rPr>
        <sz val="10"/>
        <rFont val="Arial"/>
        <family val="0"/>
        <charset val="1"/>
      </rPr>
      <t xml:space="preserve">PERIOD_SIZE [48, 48000] </t>
    </r>
    <r>
      <rPr>
        <sz val="10"/>
        <rFont val="Noto Sans CJK SC"/>
        <family val="2"/>
      </rPr>
      <t xml:space="preserve">内），抽取后 </t>
    </r>
    <r>
      <rPr>
        <sz val="10"/>
        <rFont val="Arial"/>
        <family val="0"/>
        <charset val="1"/>
      </rPr>
      <t xml:space="preserve">= 320 </t>
    </r>
    <r>
      <rPr>
        <sz val="10"/>
        <rFont val="Noto Sans CJK SC"/>
        <family val="2"/>
      </rPr>
      <t xml:space="preserve">样本 </t>
    </r>
    <r>
      <rPr>
        <sz val="10"/>
        <rFont val="Arial"/>
        <family val="0"/>
        <charset val="1"/>
      </rPr>
      <t xml:space="preserve">@16 k</t>
    </r>
    <r>
      <rPr>
        <sz val="10"/>
        <rFont val="Noto Sans CJK SC"/>
        <family val="2"/>
      </rPr>
      <t xml:space="preserve">， 与 </t>
    </r>
    <r>
      <rPr>
        <sz val="10"/>
        <rFont val="Arial"/>
        <family val="0"/>
        <charset val="1"/>
      </rPr>
      <t xml:space="preserve">11 §8.7.1 AudioFrame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frame_ms=20 / count=320 </t>
    </r>
    <r>
      <rPr>
        <sz val="10"/>
        <rFont val="Noto Sans CJK SC"/>
        <family val="2"/>
      </rPr>
      <t xml:space="preserve">完全对上。
 重采样在采集侧（</t>
    </r>
    <r>
      <rPr>
        <sz val="10"/>
        <rFont val="Arial"/>
        <family val="0"/>
        <charset val="1"/>
      </rPr>
      <t xml:space="preserve">p2_core audio_io</t>
    </r>
    <r>
      <rPr>
        <sz val="10"/>
        <rFont val="Noto Sans CJK SC"/>
        <family val="2"/>
      </rPr>
      <t xml:space="preserve">，唯一持有 </t>
    </r>
    <r>
      <rPr>
        <sz val="10"/>
        <rFont val="Arial"/>
        <family val="0"/>
        <charset val="1"/>
      </rPr>
      <t xml:space="preserve">48 k </t>
    </r>
    <r>
      <rPr>
        <sz val="10"/>
        <rFont val="Noto Sans CJK SC"/>
        <family val="2"/>
      </rPr>
      <t xml:space="preserve">原始帧的进程）完成；</t>
    </r>
    <r>
      <rPr>
        <sz val="10"/>
        <rFont val="Arial"/>
        <family val="0"/>
        <charset val="1"/>
      </rPr>
      <t xml:space="preserve">rt/audio/mic </t>
    </r>
    <r>
      <rPr>
        <sz val="10"/>
        <rFont val="Noto Sans CJK SC"/>
        <family val="2"/>
      </rPr>
      <t xml:space="preserve">上发布的恒为 </t>
    </r>
    <r>
      <rPr>
        <sz val="10"/>
        <rFont val="Arial"/>
        <family val="0"/>
        <charset val="1"/>
      </rPr>
      <t xml:space="preserve">16 k s16le mono</t>
    </r>
    <r>
      <rPr>
        <sz val="10"/>
        <rFont val="Noto Sans CJK SC"/>
        <family val="2"/>
      </rPr>
      <t xml:space="preserve">，下游不得二次转换。
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侧已同步（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复核，本待办已回收）：
</t>
    </r>
    <r>
      <rPr>
        <sz val="10"/>
        <rFont val="Arial"/>
        <family val="0"/>
        <charset val="1"/>
      </rPr>
      <t xml:space="preserve">· 11 AS-2 </t>
    </r>
    <r>
      <rPr>
        <sz val="10"/>
        <rFont val="Noto Sans CJK SC"/>
        <family val="2"/>
      </rPr>
      <t xml:space="preserve">已划掉「全链路零重采样」，改为「采集入口有且只有一次转换」；
</t>
    </r>
    <r>
      <rPr>
        <sz val="10"/>
        <rFont val="Arial"/>
        <family val="0"/>
        <charset val="1"/>
      </rPr>
      <t xml:space="preserve">· 11 AS-10 </t>
    </r>
    <r>
      <rPr>
        <sz val="10"/>
        <rFont val="Noto Sans CJK SC"/>
        <family val="2"/>
      </rPr>
      <t xml:space="preserve">已补澄清「只管放音侧，不适用于采集侧」；
</t>
    </r>
    <r>
      <rPr>
        <sz val="10"/>
        <rFont val="Arial"/>
        <family val="0"/>
        <charset val="1"/>
      </rPr>
      <t xml:space="preserve">· 11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AF-C1~C5 </t>
    </r>
    <r>
      <rPr>
        <sz val="10"/>
        <rFont val="Noto Sans CJK SC"/>
        <family val="2"/>
      </rPr>
      <t xml:space="preserve">描述采集侧抽取链路。
 该待办已过期，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关闭 —— 冲突已在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侧消解，</t>
    </r>
    <r>
      <rPr>
        <sz val="10"/>
        <rFont val="Arial"/>
        <family val="0"/>
        <charset val="1"/>
      </rPr>
      <t xml:space="preserve">00 </t>
    </r>
    <r>
      <rPr>
        <sz val="10"/>
        <rFont val="Noto Sans CJK SC"/>
        <family val="2"/>
      </rPr>
      <t xml:space="preserve">侧不再挂待办</t>
    </r>
  </si>
  <si>
    <r>
      <rPr>
        <sz val="10"/>
        <rFont val="Arial"/>
        <family val="0"/>
        <charset val="1"/>
      </rPr>
      <t xml:space="preserve">✅ 48k-&gt;16k 3:1 </t>
    </r>
    <r>
      <rPr>
        <sz val="10"/>
        <rFont val="Noto Sans CJK SC"/>
        <family val="2"/>
      </rPr>
      <t xml:space="preserve">抽取在用</t>
    </r>
  </si>
  <si>
    <t xml:space="preserve">VOI-10b</t>
  </si>
  <si>
    <r>
      <rPr>
        <sz val="10"/>
        <rFont val="Arial"/>
        <family val="0"/>
        <charset val="1"/>
      </rPr>
      <t xml:space="preserve">GZH-2 </t>
    </r>
    <r>
      <rPr>
        <sz val="10"/>
        <rFont val="Noto Sans CJK SC"/>
        <family val="2"/>
      </rPr>
      <t xml:space="preserve">内置 </t>
    </r>
    <r>
      <rPr>
        <sz val="10"/>
        <rFont val="Arial"/>
        <family val="0"/>
        <charset val="1"/>
      </rPr>
      <t xml:space="preserve">MIC </t>
    </r>
    <r>
      <rPr>
        <sz val="10"/>
        <rFont val="Noto Sans CJK SC"/>
        <family val="2"/>
      </rPr>
      <t xml:space="preserve">不用于功能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语音闭环</t>
    </r>
  </si>
  <si>
    <r>
      <rPr>
        <sz val="10"/>
        <rFont val="Arial"/>
        <family val="0"/>
        <charset val="1"/>
      </rPr>
      <t xml:space="preserve">GZH-2 </t>
    </r>
    <r>
      <rPr>
        <sz val="10"/>
        <rFont val="Noto Sans CJK SC"/>
        <family val="2"/>
      </rPr>
      <t xml:space="preserve">内置 </t>
    </r>
    <r>
      <rPr>
        <sz val="10"/>
        <rFont val="Arial"/>
        <family val="0"/>
        <charset val="1"/>
      </rPr>
      <t xml:space="preserve">MIC </t>
    </r>
    <r>
      <rPr>
        <sz val="10"/>
        <rFont val="Noto Sans CJK SC"/>
        <family val="2"/>
      </rPr>
      <t xml:space="preserve">不用于功能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语音闭环：</t>
    </r>
    <r>
      <rPr>
        <sz val="10"/>
        <rFont val="Arial"/>
        <family val="0"/>
        <charset val="1"/>
      </rPr>
      <t xml:space="preserve">[40]/[41]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Opus 16 k / 20 ms / 320 </t>
    </r>
    <r>
      <rPr>
        <sz val="10"/>
        <rFont val="Noto Sans CJK SC"/>
        <family val="2"/>
      </rPr>
      <t xml:space="preserve">样本）真机验证可用（</t>
    </r>
    <r>
      <rPr>
        <sz val="10"/>
        <rFont val="Arial"/>
        <family val="0"/>
        <charset val="1"/>
      </rPr>
      <t xml:space="preserve">392/392 </t>
    </r>
    <r>
      <rPr>
        <sz val="10"/>
        <rFont val="Noto Sans CJK SC"/>
        <family val="2"/>
      </rPr>
      <t xml:space="preserve">干净帧），但用户实测其持续实时性只有 </t>
    </r>
    <r>
      <rPr>
        <sz val="10"/>
        <rFont val="Arial"/>
        <family val="0"/>
        <charset val="1"/>
      </rPr>
      <t xml:space="preserve">~0.25</t>
    </r>
    <r>
      <rPr>
        <sz val="10"/>
        <rFont val="Noto Sans CJK SC"/>
        <family val="2"/>
      </rPr>
      <t xml:space="preserve">，不满足实时语音要求 ⇒ 本期不接入 </t>
    </r>
    <r>
      <rPr>
        <sz val="10"/>
        <rFont val="Arial"/>
        <family val="0"/>
        <charset val="1"/>
      </rPr>
      <t xml:space="preserve">P4 </t>
    </r>
    <r>
      <rPr>
        <sz val="10"/>
        <rFont val="Noto Sans CJK SC"/>
        <family val="2"/>
      </rPr>
      <t xml:space="preserve">语音管线。
 它的用途是功能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远场对讲（机器人 </t>
    </r>
    <r>
      <rPr>
        <sz val="10"/>
        <rFont val="Arial"/>
        <family val="0"/>
        <charset val="1"/>
      </rPr>
      <t xml:space="preserve">[40] → office </t>
    </r>
    <r>
      <rPr>
        <sz val="10"/>
        <rFont val="Noto Sans CJK SC"/>
        <family val="2"/>
      </rPr>
      <t xml:space="preserve">喇叭，逐字转发，无 </t>
    </r>
    <r>
      <rPr>
        <sz val="10"/>
        <rFont val="Arial"/>
        <family val="0"/>
        <charset val="1"/>
      </rPr>
      <t xml:space="preserve">ASR/LLM</t>
    </r>
    <r>
      <rPr>
        <sz val="10"/>
        <rFont val="Noto Sans CJK SC"/>
        <family val="2"/>
      </rPr>
      <t xml:space="preserve">）， 功能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本期后做 ⇒ </t>
    </r>
    <r>
      <rPr>
        <sz val="10"/>
        <rFont val="Arial"/>
        <family val="0"/>
        <charset val="1"/>
      </rPr>
      <t xml:space="preserve">[40] </t>
    </r>
    <r>
      <rPr>
        <sz val="10"/>
        <rFont val="Noto Sans CJK SC"/>
        <family val="2"/>
      </rPr>
      <t xml:space="preserve">在本期是备用能力。 协议登记保留（它是真实能力）</t>
    </r>
  </si>
  <si>
    <t xml:space="preserve">未核</t>
  </si>
  <si>
    <t xml:space="preserve">VOI-11</t>
  </si>
  <si>
    <r>
      <rPr>
        <sz val="10"/>
        <rFont val="Arial"/>
        <family val="0"/>
        <charset val="1"/>
      </rPr>
      <t xml:space="preserve">ASR → LLM → </t>
    </r>
    <r>
      <rPr>
        <sz val="10"/>
        <rFont val="Noto Sans CJK SC"/>
        <family val="2"/>
      </rPr>
      <t xml:space="preserve">任务指令解析 → 执行</t>
    </r>
  </si>
  <si>
    <r>
      <rPr>
        <sz val="10"/>
        <rFont val="Arial"/>
        <family val="0"/>
        <charset val="1"/>
      </rPr>
      <t xml:space="preserve">ASR → LLM → </t>
    </r>
    <r>
      <rPr>
        <sz val="10"/>
        <rFont val="Noto Sans CJK SC"/>
        <family val="2"/>
      </rPr>
      <t xml:space="preserve">任务指令解析 → 执行；同时 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语音应答</t>
    </r>
  </si>
  <si>
    <r>
      <rPr>
        <sz val="10"/>
        <rFont val="Arial"/>
        <family val="0"/>
        <charset val="1"/>
      </rPr>
      <t xml:space="preserve">✅ 10-24 </t>
    </r>
    <r>
      <rPr>
        <sz val="10"/>
        <rFont val="Noto Sans CJK SC"/>
        <family val="2"/>
      </rPr>
      <t xml:space="preserve">真机（缺陷见记录）</t>
    </r>
  </si>
  <si>
    <t xml:space="preserve">VOI-11a</t>
  </si>
  <si>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播报与执行下发是并行的两条路，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不在关键路径上（</t>
    </r>
    <r>
      <rPr>
        <sz val="10"/>
        <rFont val="Arial"/>
        <family val="0"/>
        <charset val="1"/>
      </rPr>
      <t xml:space="preserve">L1a</t>
    </r>
    <r>
      <rPr>
        <sz val="10"/>
        <rFont val="Noto Sans CJK SC"/>
        <family val="2"/>
      </rPr>
      <t xml:space="preserve">，见 </t>
    </r>
    <r>
      <rPr>
        <sz val="10"/>
        <rFont val="Arial"/>
        <family val="0"/>
        <charset val="1"/>
      </rPr>
      <t xml:space="preserve">CMD-35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</si>
  <si>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播报与执行下发是并行的两条路，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不在关键路径上（</t>
    </r>
    <r>
      <rPr>
        <sz val="10"/>
        <rFont val="Arial"/>
        <family val="0"/>
        <charset val="1"/>
      </rPr>
      <t xml:space="preserve">L1a</t>
    </r>
    <r>
      <rPr>
        <sz val="10"/>
        <rFont val="Noto Sans CJK SC"/>
        <family val="2"/>
      </rPr>
      <t xml:space="preserve">，见 </t>
    </r>
    <r>
      <rPr>
        <sz val="10"/>
        <rFont val="Arial"/>
        <family val="0"/>
        <charset val="1"/>
      </rPr>
      <t xml:space="preserve">CMD-35</t>
    </r>
    <r>
      <rPr>
        <sz val="10"/>
        <rFont val="Noto Sans CJK SC"/>
        <family val="2"/>
      </rPr>
      <t xml:space="preserve">）。 三段式 </t>
    </r>
    <r>
      <rPr>
        <sz val="10"/>
        <rFont val="Arial"/>
        <family val="0"/>
        <charset val="1"/>
      </rPr>
      <t xml:space="preserve">ASR→LLM→TTS </t>
    </r>
    <r>
      <rPr>
        <sz val="10"/>
        <rFont val="Noto Sans CJK SC"/>
        <family val="2"/>
      </rPr>
      <t xml:space="preserve">中，只有 </t>
    </r>
    <r>
      <rPr>
        <sz val="10"/>
        <rFont val="Arial"/>
        <family val="0"/>
        <charset val="1"/>
      </rPr>
      <t xml:space="preserve">ASR → </t>
    </r>
    <r>
      <rPr>
        <sz val="10"/>
        <rFont val="Noto Sans CJK SC"/>
        <family val="2"/>
      </rPr>
      <t xml:space="preserve">解析 在关键路径上；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ROS 2 </t>
    </r>
    <r>
      <rPr>
        <sz val="10"/>
        <rFont val="Noto Sans CJK SC"/>
        <family val="2"/>
      </rPr>
      <t xml:space="preserve">运动下发同时发出。
 例外是 </t>
    </r>
    <r>
      <rPr>
        <sz val="10"/>
        <rFont val="Arial"/>
        <family val="0"/>
        <charset val="1"/>
      </rPr>
      <t xml:space="preserve">L1b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播完才执行，此时 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在关键路径上，延迟按 </t>
    </r>
    <r>
      <rPr>
        <sz val="10"/>
        <rFont val="Arial"/>
        <family val="0"/>
        <charset val="1"/>
      </rPr>
      <t xml:space="preserve">CMD-61 </t>
    </r>
    <r>
      <rPr>
        <sz val="10"/>
        <rFont val="Noto Sans CJK SC"/>
        <family val="2"/>
      </rPr>
      <t xml:space="preserve">计</t>
    </r>
  </si>
  <si>
    <t xml:space="preserve">VOI-11b</t>
  </si>
  <si>
    <r>
      <rPr>
        <sz val="10"/>
        <rFont val="Noto Sans CJK SC"/>
        <family val="2"/>
      </rPr>
      <t xml:space="preserve">规范式说法必须走 </t>
    </r>
    <r>
      <rPr>
        <sz val="10"/>
        <rFont val="Arial"/>
        <family val="0"/>
        <charset val="1"/>
      </rPr>
      <t xml:space="preserve">fastpath </t>
    </r>
    <r>
      <rPr>
        <sz val="10"/>
        <rFont val="Noto Sans CJK SC"/>
        <family val="2"/>
      </rPr>
      <t xml:space="preserve">直出，不进 </t>
    </r>
    <r>
      <rPr>
        <sz val="10"/>
        <rFont val="Arial"/>
        <family val="0"/>
        <charset val="1"/>
      </rPr>
      <t xml:space="preserve">LLM —— </t>
    </r>
    <r>
      <rPr>
        <sz val="10"/>
        <rFont val="Noto Sans CJK SC"/>
        <family val="2"/>
      </rPr>
      <t xml:space="preserve">如 沿</t>
    </r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号路径巡逻、前进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米</t>
    </r>
  </si>
  <si>
    <r>
      <rPr>
        <sz val="10"/>
        <rFont val="Noto Sans CJK SC"/>
        <family val="2"/>
      </rPr>
      <t xml:space="preserve">规范式说法必须走 </t>
    </r>
    <r>
      <rPr>
        <sz val="10"/>
        <rFont val="Arial"/>
        <family val="0"/>
        <charset val="1"/>
      </rPr>
      <t xml:space="preserve">fastpath </t>
    </r>
    <r>
      <rPr>
        <sz val="10"/>
        <rFont val="Noto Sans CJK SC"/>
        <family val="2"/>
      </rPr>
      <t xml:space="preserve">直出，不进 </t>
    </r>
    <r>
      <rPr>
        <sz val="10"/>
        <rFont val="Arial"/>
        <family val="0"/>
        <charset val="1"/>
      </rPr>
      <t xml:space="preserve">LLM —— </t>
    </r>
    <r>
      <rPr>
        <sz val="10"/>
        <rFont val="Noto Sans CJK SC"/>
        <family val="2"/>
      </rPr>
      <t xml:space="preserve">如 沿</t>
    </r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号路径巡逻、前进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米。这是 </t>
    </r>
    <r>
      <rPr>
        <sz val="10"/>
        <rFont val="Arial"/>
        <family val="0"/>
        <charset val="1"/>
      </rPr>
      <t xml:space="preserve">CMD-60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秒指标能否达标的唯一决定因素，见 </t>
    </r>
    <r>
      <rPr>
        <sz val="10"/>
        <rFont val="Arial"/>
        <family val="0"/>
        <charset val="1"/>
      </rPr>
      <t xml:space="preserve">16 §6.6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CMD-63</t>
    </r>
  </si>
  <si>
    <t xml:space="preserve">VOI-12</t>
  </si>
  <si>
    <r>
      <rPr>
        <sz val="10"/>
        <rFont val="Noto Sans CJK SC"/>
        <family val="2"/>
      </rPr>
      <t xml:space="preserve">优先级最低，可被 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（云端）和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（微信）抢占</t>
    </r>
  </si>
  <si>
    <r>
      <rPr>
        <sz val="10"/>
        <rFont val="Arial"/>
        <family val="0"/>
        <charset val="1"/>
      </rPr>
      <t xml:space="preserve">F2 / 4.5 B </t>
    </r>
    <r>
      <rPr>
        <sz val="10"/>
        <rFont val="Noto Sans CJK SC"/>
        <family val="2"/>
      </rPr>
      <t xml:space="preserve">模式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远程喊话</t>
    </r>
  </si>
  <si>
    <t xml:space="preserve">VOI-20</t>
  </si>
  <si>
    <r>
      <rPr>
        <sz val="10"/>
        <rFont val="Noto Sans CJK SC"/>
        <family val="2"/>
      </rPr>
      <t xml:space="preserve">云端 </t>
    </r>
    <r>
      <rPr>
        <sz val="10"/>
        <rFont val="Arial"/>
        <family val="0"/>
        <charset val="1"/>
      </rPr>
      <t xml:space="preserve">MIC </t>
    </r>
    <r>
      <rPr>
        <sz val="10"/>
        <rFont val="Noto Sans CJK SC"/>
        <family val="2"/>
      </rPr>
      <t xml:space="preserve">音频以实时流形式传输至机器人，直接由三合一载荷喇叭播放</t>
    </r>
  </si>
  <si>
    <r>
      <rPr>
        <sz val="10"/>
        <rFont val="Noto Sans CJK SC"/>
        <family val="2"/>
      </rPr>
      <t xml:space="preserve">✅ 一期修复后真机（</t>
    </r>
    <r>
      <rPr>
        <sz val="10"/>
        <rFont val="Arial"/>
        <family val="0"/>
        <charset val="1"/>
      </rPr>
      <t xml:space="preserve">10-28 </t>
    </r>
    <r>
      <rPr>
        <sz val="10"/>
        <rFont val="Noto Sans CJK SC"/>
        <family val="2"/>
      </rPr>
      <t xml:space="preserve">云端联调）</t>
    </r>
  </si>
  <si>
    <t xml:space="preserve">VOI-21</t>
  </si>
  <si>
    <r>
      <rPr>
        <sz val="10"/>
        <rFont val="Noto Sans CJK SC"/>
        <family val="2"/>
      </rPr>
      <t xml:space="preserve">音频不经过 </t>
    </r>
    <r>
      <rPr>
        <sz val="10"/>
        <rFont val="Arial"/>
        <family val="0"/>
        <charset val="1"/>
      </rPr>
      <t xml:space="preserve">ASR / LLM </t>
    </r>
    <r>
      <rPr>
        <sz val="10"/>
        <rFont val="Noto Sans CJK SC"/>
        <family val="2"/>
      </rPr>
      <t xml:space="preserve">处理，为直通旁路</t>
    </r>
  </si>
  <si>
    <r>
      <rPr>
        <sz val="10"/>
        <rFont val="Noto Sans CJK SC"/>
        <family val="2"/>
      </rPr>
      <t xml:space="preserve">✅ 直通旁路，不进 </t>
    </r>
    <r>
      <rPr>
        <sz val="10"/>
        <rFont val="Arial"/>
        <family val="0"/>
        <charset val="1"/>
      </rPr>
      <t xml:space="preserve">ASR</t>
    </r>
  </si>
  <si>
    <t xml:space="preserve">VOI-22</t>
  </si>
  <si>
    <r>
      <rPr>
        <sz val="10"/>
        <rFont val="Noto Sans CJK SC"/>
        <family val="2"/>
      </rPr>
      <t xml:space="preserve">进入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模式时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</si>
  <si>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2026-07-25 </t>
    </r>
    <r>
      <rPr>
        <sz val="10"/>
        <rFont val="Noto Sans CJK SC"/>
        <family val="2"/>
      </rPr>
      <t xml:space="preserve">真机订正】进入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模式时：红蓝警示灯双闪开启（</t>
    </r>
    <r>
      <rPr>
        <sz val="10"/>
        <rFont val="Arial"/>
        <family val="0"/>
        <charset val="1"/>
      </rPr>
      <t xml:space="preserve">MSG_REDBLUE 0x07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mode 1</t>
    </r>
    <r>
      <rPr>
        <sz val="10"/>
        <rFont val="Noto Sans CJK SC"/>
        <family val="2"/>
      </rPr>
      <t xml:space="preserve">）、警笛关闭、探照灯按 </t>
    </r>
    <r>
      <rPr>
        <sz val="10"/>
        <rFont val="Arial"/>
        <family val="0"/>
        <charset val="1"/>
      </rPr>
      <t xml:space="preserve">auto </t>
    </r>
    <r>
      <rPr>
        <sz val="10"/>
        <rFont val="Noto Sans CJK SC"/>
        <family val="2"/>
      </rPr>
      <t xml:space="preserve">档判据（</t>
    </r>
    <r>
      <rPr>
        <sz val="10"/>
        <rFont val="Arial"/>
        <family val="0"/>
        <charset val="1"/>
      </rPr>
      <t xml:space="preserve">PAY-02c</t>
    </r>
    <r>
      <rPr>
        <sz val="10"/>
        <rFont val="Noto Sans CJK SC"/>
        <family val="2"/>
      </rPr>
      <t xml:space="preserve">）。
 订正理由：原文的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爆闪灯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在真机上有两个候选寄存器，照字面实现会把威慑双闪打到探照灯（</t>
    </r>
    <r>
      <rPr>
        <sz val="10"/>
        <rFont val="Arial"/>
        <family val="0"/>
        <charset val="1"/>
      </rPr>
      <t xml:space="preserve">MSG_STROBE 0x03</t>
    </r>
    <r>
      <rPr>
        <sz val="10"/>
        <rFont val="Noto Sans CJK SC"/>
        <family val="2"/>
      </rPr>
      <t xml:space="preserve">）上 —— 本项目不使用 </t>
    </r>
    <r>
      <rPr>
        <sz val="10"/>
        <rFont val="Arial"/>
        <family val="0"/>
        <charset val="1"/>
      </rPr>
      <t xml:space="preserve">MSG_STROBE</t>
    </r>
    <r>
      <rPr>
        <sz val="10"/>
        <rFont val="Noto Sans CJK SC"/>
        <family val="2"/>
      </rPr>
      <t xml:space="preserve">。权威判据见 </t>
    </r>
    <r>
      <rPr>
        <sz val="10"/>
        <rFont val="Arial"/>
        <family val="0"/>
        <charset val="1"/>
      </rPr>
      <t xml:space="preserve">PAY-02c</t>
    </r>
  </si>
  <si>
    <r>
      <rPr>
        <sz val="10"/>
        <rFont val="Noto Sans CJK SC"/>
        <family val="2"/>
      </rPr>
      <t xml:space="preserve">🟡 进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亮红蓝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关爆闪已实现（</t>
    </r>
    <r>
      <rPr>
        <sz val="10"/>
        <rFont val="Arial"/>
        <family val="0"/>
        <charset val="1"/>
      </rPr>
      <t xml:space="preserve">10-28 </t>
    </r>
    <r>
      <rPr>
        <sz val="10"/>
        <rFont val="Noto Sans CJK SC"/>
        <family val="2"/>
      </rPr>
      <t xml:space="preserve">一期），灯光现场未单独核</t>
    </r>
  </si>
  <si>
    <t xml:space="preserve">VOI-23</t>
  </si>
  <si>
    <t xml:space="preserve">进入途径</t>
  </si>
  <si>
    <r>
      <rPr>
        <sz val="10"/>
        <rFont val="Noto Sans CJK SC"/>
        <family val="2"/>
      </rPr>
      <t xml:space="preserve">进入途径：云端指令；或云端人员在收到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模式事件上报后主动切换</t>
    </r>
  </si>
  <si>
    <r>
      <rPr>
        <sz val="10"/>
        <rFont val="Noto Sans CJK SC"/>
        <family val="2"/>
      </rPr>
      <t xml:space="preserve">✅ 云端指令进入（</t>
    </r>
    <r>
      <rPr>
        <sz val="10"/>
        <rFont val="Arial"/>
        <family val="0"/>
        <charset val="1"/>
      </rPr>
      <t xml:space="preserve">10-28</t>
    </r>
    <r>
      <rPr>
        <sz val="10"/>
        <rFont val="Noto Sans CJK SC"/>
        <family val="2"/>
      </rPr>
      <t xml:space="preserve">）</t>
    </r>
  </si>
  <si>
    <t xml:space="preserve">VOI-24</t>
  </si>
  <si>
    <t xml:space="preserve">退出途径</t>
  </si>
  <si>
    <r>
      <rPr>
        <sz val="10"/>
        <rFont val="Noto Sans CJK SC"/>
        <family val="2"/>
      </rPr>
      <t xml:space="preserve">退出途径：云端文本任务指令 或 微信端语音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文本指令（云端语音在此模式下不可用）</t>
    </r>
  </si>
  <si>
    <r>
      <rPr>
        <sz val="10"/>
        <rFont val="Noto Sans CJK SC"/>
        <family val="2"/>
      </rPr>
      <t xml:space="preserve">✅ 云端文本退出（</t>
    </r>
    <r>
      <rPr>
        <sz val="10"/>
        <rFont val="Arial"/>
        <family val="0"/>
        <charset val="1"/>
      </rPr>
      <t xml:space="preserve">10-28</t>
    </r>
    <r>
      <rPr>
        <sz val="10"/>
        <rFont val="Noto Sans CJK SC"/>
        <family val="2"/>
      </rPr>
      <t xml:space="preserve">）</t>
    </r>
  </si>
  <si>
    <t xml:space="preserve">VOI-25</t>
  </si>
  <si>
    <r>
      <rPr>
        <sz val="10"/>
        <rFont val="Noto Sans CJK SC"/>
        <family val="2"/>
      </rPr>
      <t xml:space="preserve">退出后若发现可疑人物仍在，再次进入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模式是合理的、预期的行为</t>
    </r>
  </si>
  <si>
    <r>
      <rPr>
        <sz val="10"/>
        <rFont val="Noto Sans CJK SC"/>
        <family val="2"/>
      </rPr>
      <t xml:space="preserve">🟡 未核（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退出后再进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）</t>
    </r>
  </si>
  <si>
    <t xml:space="preserve">VOI-26</t>
  </si>
  <si>
    <r>
      <rPr>
        <sz val="10"/>
        <rFont val="Noto Sans CJK SC"/>
        <family val="2"/>
      </rPr>
      <t xml:space="preserve">当前营区微信不可用（</t>
    </r>
    <r>
      <rPr>
        <sz val="10"/>
        <rFont val="Arial"/>
        <family val="0"/>
        <charset val="1"/>
      </rPr>
      <t xml:space="preserve">VOI-50</t>
    </r>
    <r>
      <rPr>
        <sz val="10"/>
        <rFont val="Noto Sans CJK SC"/>
        <family val="2"/>
      </rPr>
      <t xml:space="preserve">），退出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仅剩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云端文本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单一路径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</si>
  <si>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当前营区微信不可用（</t>
    </r>
    <r>
      <rPr>
        <sz val="10"/>
        <rFont val="Arial"/>
        <family val="0"/>
        <charset val="1"/>
      </rPr>
      <t xml:space="preserve">VOI-50</t>
    </r>
    <r>
      <rPr>
        <sz val="10"/>
        <rFont val="Noto Sans CJK SC"/>
        <family val="2"/>
      </rPr>
      <t xml:space="preserve">），退出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仅剩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云端文本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单一路径。建议补两条兜底：① 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增加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强制退出广播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按钮；②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模式设置最长持续时间（如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分钟无新音频自动退出），防止操作员遗忘导致系统卡死在广播模式</t>
    </r>
  </si>
  <si>
    <r>
      <rPr>
        <sz val="10"/>
        <rFont val="Noto Sans CJK SC"/>
        <family val="2"/>
      </rPr>
      <t xml:space="preserve">🟡 空闲 </t>
    </r>
    <r>
      <rPr>
        <sz val="10"/>
        <rFont val="Arial"/>
        <family val="0"/>
        <charset val="1"/>
      </rPr>
      <t xml:space="preserve">300 s </t>
    </r>
    <r>
      <rPr>
        <sz val="10"/>
        <rFont val="Noto Sans CJK SC"/>
        <family val="2"/>
      </rPr>
      <t xml:space="preserve">自动退出已实现（</t>
    </r>
    <r>
      <rPr>
        <sz val="10"/>
        <rFont val="Arial"/>
        <family val="0"/>
        <charset val="1"/>
      </rPr>
      <t xml:space="preserve">U97</t>
    </r>
    <r>
      <rPr>
        <sz val="10"/>
        <rFont val="Noto Sans CJK SC"/>
        <family val="2"/>
      </rPr>
      <t xml:space="preserve">），真机未单独测；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强制退出按钮未核</t>
    </r>
  </si>
  <si>
    <r>
      <rPr>
        <sz val="10"/>
        <rFont val="Arial"/>
        <family val="0"/>
        <charset val="1"/>
      </rPr>
      <t xml:space="preserve">F2 / 4.6 C </t>
    </r>
    <r>
      <rPr>
        <sz val="10"/>
        <rFont val="Noto Sans CJK SC"/>
        <family val="2"/>
      </rPr>
      <t xml:space="preserve">模式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云端对话</t>
    </r>
  </si>
  <si>
    <t xml:space="preserve">VOI-30</t>
  </si>
  <si>
    <t xml:space="preserve">云端下发语音指令，进入人机对话系统，机器人解析并执行任务指令</t>
  </si>
  <si>
    <r>
      <rPr>
        <sz val="10"/>
        <rFont val="Noto Sans CJK SC"/>
        <family val="2"/>
      </rPr>
      <t xml:space="preserve">✅ 云端文本（</t>
    </r>
    <r>
      <rPr>
        <sz val="10"/>
        <rFont val="Arial"/>
        <family val="0"/>
        <charset val="1"/>
      </rPr>
      <t xml:space="preserve">commx / Qt</t>
    </r>
    <r>
      <rPr>
        <sz val="10"/>
        <rFont val="Noto Sans CJK SC"/>
        <family val="2"/>
      </rPr>
      <t xml:space="preserve">）真机</t>
    </r>
  </si>
  <si>
    <t xml:space="preserve">VOI-31</t>
  </si>
  <si>
    <r>
      <rPr>
        <sz val="10"/>
        <rFont val="Noto Sans CJK SC"/>
        <family val="2"/>
      </rPr>
      <t xml:space="preserve">优先级最高，可抢占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和 </t>
    </r>
    <r>
      <rPr>
        <sz val="10"/>
        <rFont val="Arial"/>
        <family val="0"/>
        <charset val="1"/>
      </rPr>
      <t xml:space="preserve">A</t>
    </r>
  </si>
  <si>
    <r>
      <rPr>
        <sz val="10"/>
        <rFont val="Arial"/>
        <family val="0"/>
        <charset val="1"/>
      </rPr>
      <t xml:space="preserve">F2 / 4.7 D </t>
    </r>
    <r>
      <rPr>
        <sz val="10"/>
        <rFont val="Noto Sans CJK SC"/>
        <family val="2"/>
      </rPr>
      <t xml:space="preserve">模式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自主报警</t>
    </r>
  </si>
  <si>
    <t xml:space="preserve">VOI-40</t>
  </si>
  <si>
    <t xml:space="preserve">机器人作业中发现可疑情况，自主进入报警模式</t>
  </si>
  <si>
    <t xml:space="preserve">❌ 感知自主进入未接线（规则引擎依赖感知）</t>
  </si>
  <si>
    <t xml:space="preserve">VOI-41</t>
  </si>
  <si>
    <t xml:space="preserve">进入途径两种</t>
  </si>
  <si>
    <t xml:space="preserve">进入途径两种：① 感知自主触发；② 语音或文本任务指令下发进入</t>
  </si>
  <si>
    <r>
      <rPr>
        <sz val="10"/>
        <rFont val="Noto Sans CJK SC"/>
        <family val="2"/>
      </rPr>
      <t xml:space="preserve">② 指令进入：</t>
    </r>
    <r>
      <rPr>
        <sz val="10"/>
        <rFont val="Arial"/>
        <family val="0"/>
        <charset val="1"/>
      </rPr>
      <t xml:space="preserve">cmd/mode set_voice_mode alarm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0.1-0.2 s </t>
    </r>
    <r>
      <rPr>
        <sz val="10"/>
        <rFont val="Noto Sans CJK SC"/>
        <family val="2"/>
      </rPr>
      <t xml:space="preserve">回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；设备 </t>
    </r>
    <r>
      <rPr>
        <sz val="10"/>
        <rFont val="Arial"/>
        <family val="0"/>
        <charset val="1"/>
      </rPr>
      <t xml:space="preserve">func1-&gt;deter</t>
    </r>
    <r>
      <rPr>
        <sz val="10"/>
        <rFont val="Noto Sans CJK SC"/>
        <family val="2"/>
      </rPr>
      <t xml:space="preserve">，驱离启动。① 感知自主触发未接线，不在本次范围。</t>
    </r>
  </si>
  <si>
    <r>
      <rPr>
        <sz val="10"/>
        <rFont val="Arial"/>
        <family val="0"/>
        <charset val="1"/>
      </rPr>
      <t xml:space="preserve">Claude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现场工程师</t>
    </r>
  </si>
  <si>
    <t xml:space="preserve">2026-10-28</t>
  </si>
  <si>
    <r>
      <rPr>
        <sz val="10"/>
        <rFont val="Noto Sans CJK SC"/>
        <family val="2"/>
      </rPr>
      <t xml:space="preserve">② 指令进入 ✅（</t>
    </r>
    <r>
      <rPr>
        <sz val="10"/>
        <rFont val="Arial"/>
        <family val="0"/>
        <charset val="1"/>
      </rPr>
      <t xml:space="preserve">10-28/29</t>
    </r>
    <r>
      <rPr>
        <sz val="10"/>
        <rFont val="Noto Sans CJK SC"/>
        <family val="2"/>
      </rPr>
      <t xml:space="preserve">）；① 感知自主触发 ❌ 未接线</t>
    </r>
  </si>
  <si>
    <t xml:space="preserve">VOI-42</t>
  </si>
  <si>
    <t xml:space="preserve">触发流程</t>
  </si>
  <si>
    <r>
      <rPr>
        <sz val="10"/>
        <rFont val="Noto Sans CJK SC"/>
        <family val="2"/>
      </rPr>
      <t xml:space="preserve">触发流程：先上报事件至 </t>
    </r>
    <r>
      <rPr>
        <sz val="10"/>
        <rFont val="Arial"/>
        <family val="0"/>
        <charset val="1"/>
      </rPr>
      <t xml:space="preserve">HMI + </t>
    </r>
    <r>
      <rPr>
        <sz val="10"/>
        <rFont val="Noto Sans CJK SC"/>
        <family val="2"/>
      </rPr>
      <t xml:space="preserve">发布事件消息，然后自主切换至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</t>
    </r>
  </si>
  <si>
    <t xml:space="preserve">❌ 自主触发链路未接线</t>
  </si>
  <si>
    <t xml:space="preserve">VOI-43</t>
  </si>
  <si>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模式行为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</si>
  <si>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2026-07-25 </t>
    </r>
    <r>
      <rPr>
        <sz val="10"/>
        <rFont val="Noto Sans CJK SC"/>
        <family val="2"/>
      </rPr>
      <t xml:space="preserve">真机订正】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模式行为：警笛开启（</t>
    </r>
    <r>
      <rPr>
        <sz val="10"/>
        <rFont val="Arial"/>
        <family val="0"/>
        <charset val="1"/>
      </rPr>
      <t xml:space="preserve">8519 </t>
    </r>
    <r>
      <rPr>
        <sz val="10"/>
        <rFont val="Noto Sans CJK SC"/>
        <family val="2"/>
      </rPr>
      <t xml:space="preserve">播 </t>
    </r>
    <r>
      <rPr>
        <sz val="10"/>
        <rFont val="Arial"/>
        <family val="0"/>
        <charset val="1"/>
      </rPr>
      <t xml:space="preserve">WAV</t>
    </r>
    <r>
      <rPr>
        <sz val="10"/>
        <rFont val="Noto Sans CJK SC"/>
        <family val="2"/>
      </rPr>
      <t xml:space="preserve">）＋ 红蓝警示灯双闪（</t>
    </r>
    <r>
      <rPr>
        <sz val="10"/>
        <rFont val="Arial"/>
        <family val="0"/>
        <charset val="1"/>
      </rPr>
      <t xml:space="preserve">MSG_REDBLUE 0x07</t>
    </r>
    <r>
      <rPr>
        <sz val="10"/>
        <rFont val="Noto Sans CJK SC"/>
        <family val="2"/>
      </rPr>
      <t xml:space="preserve">）＋ 探照灯常亮最亮（</t>
    </r>
    <r>
      <rPr>
        <sz val="10"/>
        <rFont val="Arial"/>
        <family val="0"/>
        <charset val="1"/>
      </rPr>
      <t xml:space="preserve">MSG_LIGHT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MSG_BRIGHT=30</t>
    </r>
    <r>
      <rPr>
        <sz val="10"/>
        <rFont val="Noto Sans CJK SC"/>
        <family val="2"/>
      </rPr>
      <t xml:space="preserve">， 不闪）＋ 自主喊话（如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您已进入管制区域，请立即离开！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）。
 订正理由：同 </t>
    </r>
    <r>
      <rPr>
        <sz val="10"/>
        <rFont val="Arial"/>
        <family val="0"/>
        <charset val="1"/>
      </rPr>
      <t xml:space="preserve">VOI-22 —— "</t>
    </r>
    <r>
      <rPr>
        <sz val="10"/>
        <rFont val="Noto Sans CJK SC"/>
        <family val="2"/>
      </rPr>
      <t xml:space="preserve">警灯爆闪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会被实现成 </t>
    </r>
    <r>
      <rPr>
        <sz val="10"/>
        <rFont val="Arial"/>
        <family val="0"/>
        <charset val="1"/>
      </rPr>
      <t xml:space="preserve">MSG_STROBE</t>
    </r>
    <r>
      <rPr>
        <sz val="10"/>
        <rFont val="Noto Sans CJK SC"/>
        <family val="2"/>
      </rPr>
      <t xml:space="preserve">（探照灯爆闪），而那样本该常亮补光的探照灯反而在闪，夜间感知（</t>
    </r>
    <r>
      <rPr>
        <sz val="10"/>
        <rFont val="Arial"/>
        <family val="0"/>
        <charset val="1"/>
      </rPr>
      <t xml:space="preserve">PER-42</t>
    </r>
    <r>
      <rPr>
        <sz val="10"/>
        <rFont val="Noto Sans CJK SC"/>
        <family val="2"/>
      </rPr>
      <t xml:space="preserve">）随之失效。权威判据见 </t>
    </r>
    <r>
      <rPr>
        <sz val="10"/>
        <rFont val="Arial"/>
        <family val="0"/>
        <charset val="1"/>
      </rPr>
      <t xml:space="preserve">PAY-02c</t>
    </r>
  </si>
  <si>
    <r>
      <rPr>
        <sz val="10"/>
        <rFont val="Noto Sans CJK SC"/>
        <family val="2"/>
      </rPr>
      <t xml:space="preserve">四次真机进入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：警笛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红蓝双闪 </t>
    </r>
    <r>
      <rPr>
        <sz val="10"/>
        <rFont val="Arial"/>
        <family val="0"/>
        <charset val="1"/>
      </rPr>
      <t xml:space="preserve">mode 1 + </t>
    </r>
    <r>
      <rPr>
        <sz val="10"/>
        <rFont val="Noto Sans CJK SC"/>
        <family val="2"/>
      </rPr>
      <t xml:space="preserve">探照灯常亮亮度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，喇叭由 </t>
    </r>
    <r>
      <rPr>
        <sz val="10"/>
        <rFont val="Arial"/>
        <family val="0"/>
        <charset val="1"/>
      </rPr>
      <t xml:space="preserve">alarm_d </t>
    </r>
    <r>
      <rPr>
        <sz val="10"/>
        <rFont val="Noto Sans CJK SC"/>
        <family val="2"/>
      </rPr>
      <t xml:space="preserve">持有、门控 </t>
    </r>
    <r>
      <rPr>
        <sz val="10"/>
        <rFont val="Arial"/>
        <family val="0"/>
        <charset val="1"/>
      </rPr>
      <t xml:space="preserve">speaker_active</t>
    </r>
    <r>
      <rPr>
        <sz val="10"/>
        <rFont val="Noto Sans CJK SC"/>
        <family val="2"/>
      </rPr>
      <t xml:space="preserve">、运动 </t>
    </r>
    <r>
      <rPr>
        <sz val="10"/>
        <rFont val="Arial"/>
        <family val="0"/>
        <charset val="1"/>
      </rPr>
      <t xml:space="preserve">hold</t>
    </r>
    <r>
      <rPr>
        <sz val="10"/>
        <rFont val="Noto Sans CJK SC"/>
        <family val="2"/>
      </rPr>
      <t xml:space="preserve">；退出灯全灭回 </t>
    </r>
    <r>
      <rPr>
        <sz val="10"/>
        <rFont val="Arial"/>
        <family val="0"/>
        <charset val="1"/>
      </rPr>
      <t xml:space="preserve">func1</t>
    </r>
    <r>
      <rPr>
        <sz val="10"/>
        <rFont val="Noto Sans CJK SC"/>
        <family val="2"/>
      </rPr>
      <t xml:space="preserve">。遗留：约 </t>
    </r>
    <r>
      <rPr>
        <sz val="10"/>
        <rFont val="Arial"/>
        <family val="0"/>
        <charset val="1"/>
      </rPr>
      <t xml:space="preserve">203 s </t>
    </r>
    <r>
      <rPr>
        <sz val="10"/>
        <rFont val="Noto Sans CJK SC"/>
        <family val="2"/>
      </rPr>
      <t xml:space="preserve">停喊话时当前句被截断（</t>
    </r>
    <r>
      <rPr>
        <sz val="10"/>
        <rFont val="Arial"/>
        <family val="0"/>
        <charset val="1"/>
      </rPr>
      <t xml:space="preserve">16:04:12</t>
    </r>
    <r>
      <rPr>
        <sz val="10"/>
        <rFont val="Noto Sans CJK SC"/>
        <family val="2"/>
      </rPr>
      <t xml:space="preserve">），待下次现场复测。</t>
    </r>
  </si>
  <si>
    <t xml:space="preserve">2026-10-29</t>
  </si>
  <si>
    <r>
      <rPr>
        <sz val="10"/>
        <rFont val="Arial"/>
        <family val="0"/>
        <charset val="1"/>
      </rPr>
      <t xml:space="preserve">✅ 10-28/29 </t>
    </r>
    <r>
      <rPr>
        <sz val="10"/>
        <rFont val="Noto Sans CJK SC"/>
        <family val="2"/>
      </rPr>
      <t xml:space="preserve">真机：警笛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红蓝双闪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探照灯常亮；约 </t>
    </r>
    <r>
      <rPr>
        <sz val="10"/>
        <rFont val="Arial"/>
        <family val="0"/>
        <charset val="1"/>
      </rPr>
      <t xml:space="preserve">203 s </t>
    </r>
    <r>
      <rPr>
        <sz val="10"/>
        <rFont val="Noto Sans CJK SC"/>
        <family val="2"/>
      </rPr>
      <t xml:space="preserve">停喊话会截断半句，待下次现场复测</t>
    </r>
  </si>
  <si>
    <t xml:space="preserve">VOI-44</t>
  </si>
  <si>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模式持续保持，直至下列任一条件满足</t>
    </r>
  </si>
  <si>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模式持续保持，直至下列任一条件满足：
① 可疑人物消失
② 可疑人物退出电子围栏以外
③ 云端或微信任一终端下达文本或语音指令退出</t>
    </r>
  </si>
  <si>
    <r>
      <rPr>
        <sz val="10"/>
        <rFont val="Noto Sans CJK SC"/>
        <family val="2"/>
      </rPr>
      <t xml:space="preserve">③ 指令退出：</t>
    </r>
    <r>
      <rPr>
        <sz val="10"/>
        <rFont val="Arial"/>
        <family val="0"/>
        <charset val="1"/>
      </rPr>
      <t xml:space="preserve">exit_alarm </t>
    </r>
    <r>
      <rPr>
        <sz val="10"/>
        <rFont val="Noto Sans CJK SC"/>
        <family val="2"/>
      </rPr>
      <t xml:space="preserve">回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，设备回 </t>
    </r>
    <r>
      <rPr>
        <sz val="10"/>
        <rFont val="Arial"/>
        <family val="0"/>
        <charset val="1"/>
      </rPr>
      <t xml:space="preserve">func1</t>
    </r>
    <r>
      <rPr>
        <sz val="10"/>
        <rFont val="Noto Sans CJK SC"/>
        <family val="2"/>
      </rPr>
      <t xml:space="preserve">、灯灭、开麦、</t>
    </r>
    <r>
      <rPr>
        <sz val="10"/>
        <rFont val="Arial"/>
        <family val="0"/>
        <charset val="1"/>
      </rPr>
      <t xml:space="preserve">exit_reason=requested</t>
    </r>
    <r>
      <rPr>
        <sz val="10"/>
        <rFont val="Noto Sans CJK SC"/>
        <family val="2"/>
      </rPr>
      <t xml:space="preserve">。①② 未接线，不在本次范围。</t>
    </r>
  </si>
  <si>
    <t xml:space="preserve">③ 指令退出 ✅；① 目标消失、② 出围栏 ❌ 未接线</t>
  </si>
  <si>
    <t xml:space="preserve">VOI-45</t>
  </si>
  <si>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模式期间的运动行为按 </t>
    </r>
    <r>
      <rPr>
        <sz val="10"/>
        <rFont val="Arial"/>
        <family val="0"/>
        <charset val="1"/>
      </rPr>
      <t xml:space="preserve">NAV-50 </t>
    </r>
    <r>
      <rPr>
        <sz val="10"/>
        <rFont val="Noto Sans CJK SC"/>
        <family val="2"/>
      </rPr>
      <t xml:space="preserve">配置执行</t>
    </r>
  </si>
  <si>
    <r>
      <rPr>
        <sz val="10"/>
        <rFont val="Arial"/>
        <family val="0"/>
        <charset val="1"/>
      </rPr>
      <t xml:space="preserve">✅/🟡 </t>
    </r>
    <r>
      <rPr>
        <sz val="10"/>
        <rFont val="Noto Sans CJK SC"/>
        <family val="2"/>
      </rPr>
      <t xml:space="preserve">下发 </t>
    </r>
    <r>
      <rPr>
        <sz val="10"/>
        <rFont val="Arial"/>
        <family val="0"/>
        <charset val="1"/>
      </rPr>
      <t xml:space="preserve">hold </t>
    </r>
    <r>
      <rPr>
        <sz val="10"/>
        <rFont val="Noto Sans CJK SC"/>
        <family val="2"/>
      </rPr>
      <t xml:space="preserve">已确认（</t>
    </r>
    <r>
      <rPr>
        <sz val="10"/>
        <rFont val="Arial"/>
        <family val="0"/>
        <charset val="1"/>
      </rPr>
      <t xml:space="preserve">10-28/29</t>
    </r>
    <r>
      <rPr>
        <sz val="10"/>
        <rFont val="Noto Sans CJK SC"/>
        <family val="2"/>
      </rPr>
      <t xml:space="preserve">），机器人当时趴着，行走中被压停未验</t>
    </r>
  </si>
  <si>
    <t xml:space="preserve">VOI-46</t>
  </si>
  <si>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模式期间 </t>
    </r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自动进入跟踪模式，见 </t>
    </r>
    <r>
      <rPr>
        <sz val="10"/>
        <rFont val="Arial"/>
        <family val="0"/>
        <charset val="1"/>
      </rPr>
      <t xml:space="preserve">PAY-22</t>
    </r>
  </si>
  <si>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模式期间 </t>
    </r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自动进入跟踪模式，见 </t>
    </r>
    <r>
      <rPr>
        <sz val="10"/>
        <rFont val="Arial"/>
        <family val="0"/>
        <charset val="1"/>
      </rPr>
      <t xml:space="preserve">PAY-22</t>
    </r>
    <r>
      <rPr>
        <sz val="10"/>
        <rFont val="Noto Sans CJK SC"/>
        <family val="2"/>
      </rPr>
      <t xml:space="preserve">。 订正：此处「跟踪」＝ 开环随动（</t>
    </r>
    <r>
      <rPr>
        <sz val="10"/>
        <rFont val="Arial"/>
        <family val="0"/>
        <charset val="1"/>
      </rPr>
      <t xml:space="preserve">PAY-22</t>
    </r>
    <r>
      <rPr>
        <sz val="10"/>
        <rFont val="Noto Sans CJK SC"/>
        <family val="2"/>
      </rPr>
      <t xml:space="preserve">），不含位置校正、不保证与机体 </t>
    </r>
    <r>
      <rPr>
        <sz val="10"/>
        <rFont val="Arial"/>
        <family val="0"/>
        <charset val="1"/>
      </rPr>
      <t xml:space="preserve">yaw </t>
    </r>
    <r>
      <rPr>
        <sz val="10"/>
        <rFont val="Noto Sans CJK SC"/>
        <family val="2"/>
      </rPr>
      <t xml:space="preserve">一致。 云端手动控制随时可抢占（</t>
    </r>
    <r>
      <rPr>
        <sz val="10"/>
        <rFont val="Arial"/>
        <family val="0"/>
        <charset val="1"/>
      </rPr>
      <t xml:space="preserve">CON-01 </t>
    </r>
    <r>
      <rPr>
        <sz val="10"/>
        <rFont val="Noto Sans CJK SC"/>
        <family val="2"/>
      </rPr>
      <t xml:space="preserve">域⑤）</t>
    </r>
  </si>
  <si>
    <r>
      <rPr>
        <sz val="10"/>
        <rFont val="Arial"/>
        <family val="0"/>
        <charset val="1"/>
      </rPr>
      <t xml:space="preserve">🟡 B/D </t>
    </r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auto_track </t>
    </r>
    <r>
      <rPr>
        <sz val="10"/>
        <rFont val="Noto Sans CJK SC"/>
        <family val="2"/>
      </rPr>
      <t xml:space="preserve">持有云台域（</t>
    </r>
    <r>
      <rPr>
        <sz val="10"/>
        <rFont val="Arial"/>
        <family val="0"/>
        <charset val="1"/>
      </rPr>
      <t xml:space="preserve">10-28 </t>
    </r>
    <r>
      <rPr>
        <sz val="10"/>
        <rFont val="Noto Sans CJK SC"/>
        <family val="2"/>
      </rPr>
      <t xml:space="preserve">真机）；本期不做真跟踪（机体 </t>
    </r>
    <r>
      <rPr>
        <sz val="10"/>
        <rFont val="Arial"/>
        <family val="0"/>
        <charset val="1"/>
      </rPr>
      <t xml:space="preserve">hold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set_track </t>
    </r>
    <r>
      <rPr>
        <sz val="10"/>
        <rFont val="Noto Sans CJK SC"/>
        <family val="2"/>
      </rPr>
      <t xml:space="preserve">未实现）</t>
    </r>
  </si>
  <si>
    <t xml:space="preserve">VOI-47</t>
  </si>
  <si>
    <t xml:space="preserve">喊话内容应支持预设语句库（可配置多条），而非硬编码单句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</si>
  <si>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喊话内容应支持预设语句库（可配置多条），而非硬编码单句</t>
    </r>
  </si>
  <si>
    <r>
      <rPr>
        <sz val="10"/>
        <rFont val="Noto Sans CJK SC"/>
        <family val="2"/>
      </rPr>
      <t xml:space="preserve">🟡 设备只支持单条台词（</t>
    </r>
    <r>
      <rPr>
        <sz val="10"/>
        <rFont val="Arial"/>
        <family val="0"/>
        <charset val="1"/>
      </rPr>
      <t xml:space="preserve">DT-7</t>
    </r>
    <r>
      <rPr>
        <sz val="10"/>
        <rFont val="Noto Sans CJK SC"/>
        <family val="2"/>
      </rPr>
      <t xml:space="preserve">），预设语句库未落到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</t>
    </r>
  </si>
  <si>
    <r>
      <rPr>
        <sz val="10"/>
        <rFont val="Arial"/>
        <family val="0"/>
        <charset val="1"/>
      </rPr>
      <t xml:space="preserve">F2 / 4.8 E </t>
    </r>
    <r>
      <rPr>
        <sz val="10"/>
        <rFont val="Noto Sans CJK SC"/>
        <family val="2"/>
      </rPr>
      <t xml:space="preserve">模式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外部指令通道（企业微信）</t>
    </r>
  </si>
  <si>
    <t xml:space="preserve">VOI-50</t>
  </si>
  <si>
    <t xml:space="preserve">当前营区环境微信不可用</t>
  </si>
  <si>
    <r>
      <rPr>
        <sz val="10"/>
        <rFont val="Noto Sans CJK SC"/>
        <family val="2"/>
      </rPr>
      <t xml:space="preserve">当前营区环境微信不可用。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模式为预留功能，供其他场景落地时使用</t>
    </r>
  </si>
  <si>
    <t xml:space="preserve">按需求为预留功能</t>
  </si>
  <si>
    <t xml:space="preserve">VOI-51</t>
  </si>
  <si>
    <r>
      <rPr>
        <sz val="10"/>
        <rFont val="Noto Sans CJK SC"/>
        <family val="2"/>
      </rPr>
      <t xml:space="preserve">形态为企业微信 </t>
    </r>
    <r>
      <rPr>
        <sz val="10"/>
        <rFont val="Arial"/>
        <family val="0"/>
        <charset val="1"/>
      </rPr>
      <t xml:space="preserve">bot</t>
    </r>
    <r>
      <rPr>
        <sz val="10"/>
        <rFont val="Noto Sans CJK SC"/>
        <family val="2"/>
      </rPr>
      <t xml:space="preserve">，支持语音和文本两种指令</t>
    </r>
  </si>
  <si>
    <r>
      <rPr>
        <sz val="10"/>
        <rFont val="Arial"/>
        <family val="0"/>
        <charset val="1"/>
      </rPr>
      <t xml:space="preserve">🟡 p5 </t>
    </r>
    <r>
      <rPr>
        <sz val="10"/>
        <rFont val="Noto Sans CJK SC"/>
        <family val="2"/>
      </rPr>
      <t xml:space="preserve">有 </t>
    </r>
    <r>
      <rPr>
        <sz val="10"/>
        <rFont val="Arial"/>
        <family val="0"/>
        <charset val="1"/>
      </rPr>
      <t xml:space="preserve">wecom </t>
    </r>
    <r>
      <rPr>
        <sz val="10"/>
        <rFont val="Noto Sans CJK SC"/>
        <family val="2"/>
      </rPr>
      <t xml:space="preserve">通道代码，未接真实企业微信</t>
    </r>
  </si>
  <si>
    <t xml:space="preserve">VOI-52</t>
  </si>
  <si>
    <t xml:space="preserve">机器狗直连微信服务器，不经由云端后台中转，与云端通道网络路径相互独立</t>
  </si>
  <si>
    <t xml:space="preserve">VOI-53</t>
  </si>
  <si>
    <r>
      <rPr>
        <sz val="10"/>
        <rFont val="Noto Sans CJK SC"/>
        <family val="2"/>
      </rPr>
      <t xml:space="preserve">架构上应抽象为可插拔的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外部指令通道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，微信仅为其一个实现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</si>
  <si>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架构上应抽象为可插拔的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外部指令通道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，微信仅为其一个实现。以便在合规受限或场景变化时替换为客户 </t>
    </r>
    <r>
      <rPr>
        <sz val="10"/>
        <rFont val="Arial"/>
        <family val="0"/>
        <charset val="1"/>
      </rPr>
      <t xml:space="preserve">App / </t>
    </r>
    <r>
      <rPr>
        <sz val="10"/>
        <rFont val="Noto Sans CJK SC"/>
        <family val="2"/>
      </rPr>
      <t xml:space="preserve">短信网关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专用终端，上层代码不变</t>
    </r>
  </si>
  <si>
    <t xml:space="preserve">VOI-54</t>
  </si>
  <si>
    <r>
      <rPr>
        <sz val="10"/>
        <rFont val="Noto Sans CJK SC"/>
        <family val="2"/>
      </rPr>
      <t xml:space="preserve">待确认：封闭加密营区网络下微信的实际连通路径；以及巡防语音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文本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图片经第三方服务器的合规性判断</t>
    </r>
  </si>
  <si>
    <t xml:space="preserve">待确认项</t>
  </si>
  <si>
    <r>
      <rPr>
        <sz val="10"/>
        <rFont val="Arial"/>
        <family val="0"/>
        <charset val="1"/>
      </rPr>
      <t xml:space="preserve">F2 / 4.9 </t>
    </r>
    <r>
      <rPr>
        <sz val="10"/>
        <rFont val="Noto Sans CJK SC"/>
        <family val="2"/>
      </rPr>
      <t xml:space="preserve">音频资源约束</t>
    </r>
  </si>
  <si>
    <r>
      <rPr>
        <sz val="10"/>
        <rFont val="Noto Sans CJK SC"/>
        <family val="2"/>
      </rPr>
      <t xml:space="preserve">喊话喇叭为独占资源，</t>
    </r>
    <r>
      <rPr>
        <sz val="10"/>
        <rFont val="Arial"/>
        <family val="0"/>
        <charset val="1"/>
      </rPr>
      <t xml:space="preserve">A/B/C/D/E </t>
    </r>
    <r>
      <rPr>
        <sz val="10"/>
        <rFont val="Noto Sans CJK SC"/>
        <family val="2"/>
      </rPr>
      <t xml:space="preserve">的音频输出全部竞争此资源，须统一仲裁，见 </t>
    </r>
    <r>
      <rPr>
        <sz val="10"/>
        <rFont val="Arial"/>
        <family val="0"/>
        <charset val="1"/>
      </rPr>
      <t xml:space="preserve">CON-01</t>
    </r>
  </si>
  <si>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期间发 </t>
    </r>
    <r>
      <rPr>
        <sz val="10"/>
        <rFont val="Arial"/>
        <family val="0"/>
        <charset val="1"/>
      </rPr>
      <t xml:space="preserve">tts_local</t>
    </r>
    <r>
      <rPr>
        <sz val="10"/>
        <rFont val="Noto Sans CJK SC"/>
        <family val="2"/>
      </rPr>
      <t xml:space="preserve">，被拒 </t>
    </r>
    <r>
      <rPr>
        <sz val="10"/>
        <rFont val="Arial"/>
        <family val="0"/>
        <charset val="1"/>
      </rPr>
      <t xml:space="preserve">E_BUSY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speaker held by alarm_d</t>
    </r>
    <r>
      <rPr>
        <sz val="10"/>
        <rFont val="Noto Sans CJK SC"/>
        <family val="2"/>
      </rPr>
      <t xml:space="preserve">），无插播。</t>
    </r>
  </si>
  <si>
    <r>
      <rPr>
        <sz val="10"/>
        <rFont val="Arial"/>
        <family val="0"/>
        <charset val="1"/>
      </rPr>
      <t xml:space="preserve">✅ 10-28/29 </t>
    </r>
    <r>
      <rPr>
        <sz val="10"/>
        <rFont val="Noto Sans CJK SC"/>
        <family val="2"/>
      </rPr>
      <t xml:space="preserve">真机：喊话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报警期间 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被拒（</t>
    </r>
    <r>
      <rPr>
        <sz val="10"/>
        <rFont val="Arial"/>
        <family val="0"/>
        <charset val="1"/>
      </rPr>
      <t xml:space="preserve">E_BUSY</t>
    </r>
    <r>
      <rPr>
        <sz val="10"/>
        <rFont val="Noto Sans CJK SC"/>
        <family val="2"/>
      </rPr>
      <t xml:space="preserve">），可被抢占</t>
    </r>
  </si>
  <si>
    <t xml:space="preserve">VOI-61</t>
  </si>
  <si>
    <r>
      <rPr>
        <sz val="10"/>
        <rFont val="Noto Sans CJK SC"/>
        <family val="2"/>
      </rPr>
      <t xml:space="preserve">本地麦克风为独占资源，仅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模式使用（ 即 </t>
    </r>
    <r>
      <rPr>
        <sz val="10"/>
        <rFont val="Arial"/>
        <family val="0"/>
        <charset val="1"/>
      </rPr>
      <t xml:space="preserve">hw:0,0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USB MIC</t>
    </r>
    <r>
      <rPr>
        <sz val="10"/>
        <rFont val="Noto Sans CJK SC"/>
        <family val="2"/>
      </rPr>
      <t xml:space="preserve">，由 </t>
    </r>
    <r>
      <rPr>
        <sz val="10"/>
        <rFont val="Arial"/>
        <family val="0"/>
        <charset val="1"/>
      </rPr>
      <t xml:space="preserve">p2_core audio_io </t>
    </r>
    <r>
      <rPr>
        <sz val="10"/>
        <rFont val="Noto Sans CJK SC"/>
        <family val="2"/>
      </rPr>
      <t xml:space="preserve">独…</t>
    </r>
  </si>
  <si>
    <r>
      <rPr>
        <sz val="10"/>
        <rFont val="Noto Sans CJK SC"/>
        <family val="2"/>
      </rPr>
      <t xml:space="preserve">本地麦克风为独占资源，仅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模式使用（ 即 </t>
    </r>
    <r>
      <rPr>
        <sz val="10"/>
        <rFont val="Arial"/>
        <family val="0"/>
        <charset val="1"/>
      </rPr>
      <t xml:space="preserve">hw:0,0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USB MIC</t>
    </r>
    <r>
      <rPr>
        <sz val="10"/>
        <rFont val="Noto Sans CJK SC"/>
        <family val="2"/>
      </rPr>
      <t xml:space="preserve">，由 </t>
    </r>
    <r>
      <rPr>
        <sz val="10"/>
        <rFont val="Arial"/>
        <family val="0"/>
        <charset val="1"/>
      </rPr>
      <t xml:space="preserve">p2_core audio_io </t>
    </r>
    <r>
      <rPr>
        <sz val="10"/>
        <rFont val="Noto Sans CJK SC"/>
        <family val="2"/>
      </rPr>
      <t xml:space="preserve">独占持有，见 </t>
    </r>
    <r>
      <rPr>
        <sz val="10"/>
        <rFont val="Arial"/>
        <family val="0"/>
        <charset val="1"/>
      </rPr>
      <t xml:space="preserve">VOI-10 / 11 RT-A1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</si>
  <si>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✅ p2 </t>
    </r>
    <r>
      <rPr>
        <sz val="10"/>
        <rFont val="Noto Sans CJK SC"/>
        <family val="2"/>
      </rPr>
      <t xml:space="preserve">独占 </t>
    </r>
    <r>
      <rPr>
        <sz val="10"/>
        <rFont val="Arial"/>
        <family val="0"/>
        <charset val="1"/>
      </rPr>
      <t xml:space="preserve">HK-MIC</t>
    </r>
  </si>
  <si>
    <t xml:space="preserve">VOI-62</t>
  </si>
  <si>
    <r>
      <rPr>
        <sz val="10"/>
        <rFont val="Noto Sans CJK SC"/>
        <family val="2"/>
      </rPr>
      <t xml:space="preserve">半双工门控（正式需求，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定案， 已去除）</t>
    </r>
  </si>
  <si>
    <r>
      <rPr>
        <sz val="10"/>
        <rFont val="Noto Sans CJK SC"/>
        <family val="2"/>
      </rPr>
      <t xml:space="preserve">半双工门控（正式需求，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定案， 已去除）：喇叭出声时必须强制关闭本地 </t>
    </r>
    <r>
      <rPr>
        <sz val="10"/>
        <rFont val="Arial"/>
        <family val="0"/>
        <charset val="1"/>
      </rPr>
      <t xml:space="preserve">ASR </t>
    </r>
    <r>
      <rPr>
        <sz val="10"/>
        <rFont val="Noto Sans CJK SC"/>
        <family val="2"/>
      </rPr>
      <t xml:space="preserve">输入，否则会导致 </t>
    </r>
    <r>
      <rPr>
        <sz val="10"/>
        <rFont val="Arial"/>
        <family val="0"/>
        <charset val="1"/>
      </rPr>
      <t xml:space="preserve">ASR </t>
    </r>
    <r>
      <rPr>
        <sz val="10"/>
        <rFont val="Noto Sans CJK SC"/>
        <family val="2"/>
      </rPr>
      <t xml:space="preserve">自触发、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自问自答。
 理由是结构性的、不可绕过：本期 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GZH-2 </t>
    </r>
    <r>
      <rPr>
        <sz val="10"/>
        <rFont val="Noto Sans CJK SC"/>
        <family val="2"/>
      </rPr>
      <t xml:space="preserve">设备内合成并播放（走 </t>
    </r>
    <r>
      <rPr>
        <sz val="10"/>
        <rFont val="Arial"/>
        <family val="0"/>
        <charset val="1"/>
      </rPr>
      <t xml:space="preserve">[31]/[32]</t>
    </r>
    <r>
      <rPr>
        <sz val="10"/>
        <rFont val="Noto Sans CJK SC"/>
        <family val="2"/>
      </rPr>
      <t xml:space="preserve">，只发文本，不传音频），回声路径为
　　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文本 → </t>
    </r>
    <r>
      <rPr>
        <sz val="10"/>
        <rFont val="Arial"/>
        <family val="0"/>
        <charset val="1"/>
      </rPr>
      <t xml:space="preserve">GZH-2</t>
    </r>
    <r>
      <rPr>
        <sz val="10"/>
        <rFont val="Noto Sans CJK SC"/>
        <family val="2"/>
      </rPr>
      <t xml:space="preserve">【设备内】合成 → 喇叭 </t>
    </r>
    <r>
      <rPr>
        <sz val="10"/>
        <rFont val="Arial"/>
        <family val="0"/>
        <charset val="1"/>
      </rPr>
      <t xml:space="preserve">110 dBA@1 m / 15 W → </t>
    </r>
    <r>
      <rPr>
        <sz val="10"/>
        <rFont val="Noto Sans CJK SC"/>
        <family val="2"/>
      </rPr>
      <t xml:space="preserve">空气 → </t>
    </r>
    <r>
      <rPr>
        <sz val="10"/>
        <rFont val="Arial"/>
        <family val="0"/>
        <charset val="1"/>
      </rPr>
      <t xml:space="preserve">ORIN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USB MIC
 ⇒ </t>
    </r>
    <r>
      <rPr>
        <sz val="10"/>
        <rFont val="Noto Sans CJK SC"/>
        <family val="2"/>
      </rPr>
      <t xml:space="preserve">上装侧从来没有拿到过播出的音频波形 ⇒ </t>
    </r>
    <r>
      <rPr>
        <sz val="10"/>
        <rFont val="Arial"/>
        <family val="0"/>
        <charset val="1"/>
      </rPr>
      <t xml:space="preserve">AEC </t>
    </r>
    <r>
      <rPr>
        <sz val="10"/>
        <rFont val="Noto Sans CJK SC"/>
        <family val="2"/>
      </rPr>
      <t xml:space="preserve">拿不到参考信号 ⇒ </t>
    </r>
    <r>
      <rPr>
        <sz val="10"/>
        <rFont val="Arial"/>
        <family val="0"/>
        <charset val="1"/>
      </rPr>
      <t xml:space="preserve">AEC </t>
    </r>
    <r>
      <rPr>
        <sz val="10"/>
        <rFont val="Noto Sans CJK SC"/>
        <family val="2"/>
      </rPr>
      <t xml:space="preserve">在结构上不可能做。
 这不是「</t>
    </r>
    <r>
      <rPr>
        <sz val="10"/>
        <rFont val="Arial"/>
        <family val="0"/>
        <charset val="1"/>
      </rPr>
      <t xml:space="preserve">AEC </t>
    </r>
    <r>
      <rPr>
        <sz val="10"/>
        <rFont val="Noto Sans CJK SC"/>
        <family val="2"/>
      </rPr>
      <t xml:space="preserve">很难」，是「</t>
    </r>
    <r>
      <rPr>
        <sz val="10"/>
        <rFont val="Arial"/>
        <family val="0"/>
        <charset val="1"/>
      </rPr>
      <t xml:space="preserve">AEC </t>
    </r>
    <r>
      <rPr>
        <sz val="10"/>
        <rFont val="Noto Sans CJK SC"/>
        <family val="2"/>
      </rPr>
      <t xml:space="preserve">没有输入」 —— 因此本条不存在「用更好的算法绕过去」的分支</t>
    </r>
  </si>
  <si>
    <r>
      <rPr>
        <sz val="10"/>
        <rFont val="Arial"/>
        <family val="0"/>
        <charset val="1"/>
      </rPr>
      <t xml:space="preserve">D/B </t>
    </r>
    <r>
      <rPr>
        <sz val="10"/>
        <rFont val="Noto Sans CJK SC"/>
        <family val="2"/>
      </rPr>
      <t xml:space="preserve">期间 </t>
    </r>
    <r>
      <rPr>
        <sz val="10"/>
        <rFont val="Arial"/>
        <family val="0"/>
        <charset val="1"/>
      </rPr>
      <t xml:space="preserve">rt/audio/mic </t>
    </r>
    <r>
      <rPr>
        <sz val="10"/>
        <rFont val="Noto Sans CJK SC"/>
        <family val="2"/>
      </rPr>
      <t xml:space="preserve">关闭（</t>
    </r>
    <r>
      <rPr>
        <sz val="10"/>
        <rFont val="Arial"/>
        <family val="0"/>
        <charset val="1"/>
      </rPr>
      <t xml:space="preserve">muted </t>
    </r>
    <r>
      <rPr>
        <sz val="10"/>
        <rFont val="Noto Sans CJK SC"/>
        <family val="2"/>
      </rPr>
      <t xml:space="preserve">计数增长、</t>
    </r>
    <r>
      <rPr>
        <sz val="10"/>
        <rFont val="Arial"/>
        <family val="0"/>
        <charset val="1"/>
      </rPr>
      <t xml:space="preserve">published </t>
    </r>
    <r>
      <rPr>
        <sz val="10"/>
        <rFont val="Noto Sans CJK SC"/>
        <family val="2"/>
      </rPr>
      <t xml:space="preserve">不增），退出后恢复；</t>
    </r>
    <r>
      <rPr>
        <sz val="10"/>
        <rFont val="Arial"/>
        <family val="0"/>
        <charset val="1"/>
      </rPr>
      <t xml:space="preserve">C1 </t>
    </r>
    <r>
      <rPr>
        <sz val="10"/>
        <rFont val="Noto Sans CJK SC"/>
        <family val="2"/>
      </rPr>
      <t xml:space="preserve">上线时曾因租约未续致永久静音，已修（</t>
    </r>
    <r>
      <rPr>
        <sz val="10"/>
        <rFont val="Arial"/>
        <family val="0"/>
        <charset val="1"/>
      </rPr>
      <t xml:space="preserve">d24493c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</si>
  <si>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✅ 10-28/29 </t>
    </r>
    <r>
      <rPr>
        <sz val="10"/>
        <rFont val="Noto Sans CJK SC"/>
        <family val="2"/>
      </rPr>
      <t xml:space="preserve">真机：</t>
    </r>
    <r>
      <rPr>
        <sz val="10"/>
        <rFont val="Arial"/>
        <family val="0"/>
        <charset val="1"/>
      </rPr>
      <t xml:space="preserve">B/D </t>
    </r>
    <r>
      <rPr>
        <sz val="10"/>
        <rFont val="Noto Sans CJK SC"/>
        <family val="2"/>
      </rPr>
      <t xml:space="preserve">期间关麦、退出开麦；门控 </t>
    </r>
    <r>
      <rPr>
        <sz val="10"/>
        <rFont val="Arial"/>
        <family val="0"/>
        <charset val="1"/>
      </rPr>
      <t xml:space="preserve">reason </t>
    </r>
    <r>
      <rPr>
        <sz val="10"/>
        <rFont val="Noto Sans CJK SC"/>
        <family val="2"/>
      </rPr>
      <t xml:space="preserve">取值与 </t>
    </r>
    <r>
      <rPr>
        <sz val="10"/>
        <rFont val="Arial"/>
        <family val="0"/>
        <charset val="1"/>
      </rPr>
      <t xml:space="preserve">11 §8.9.2 </t>
    </r>
    <r>
      <rPr>
        <sz val="10"/>
        <rFont val="Noto Sans CJK SC"/>
        <family val="2"/>
      </rPr>
      <t xml:space="preserve">闭集不一致（已开卡片）</t>
    </r>
  </si>
  <si>
    <t xml:space="preserve">VOI-63</t>
  </si>
  <si>
    <t xml:space="preserve">门控逻辑必须由音频仲裁器统一管理，不得由各模式各自实现</t>
  </si>
  <si>
    <r>
      <rPr>
        <sz val="10"/>
        <rFont val="Noto Sans CJK SC"/>
        <family val="2"/>
      </rPr>
      <t xml:space="preserve">正式需求（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定案， 已去除）：门控逻辑必须由音频仲裁器统一管理，不得由各模式各自实现</t>
    </r>
  </si>
  <si>
    <r>
      <rPr>
        <sz val="10"/>
        <rFont val="Noto Sans CJK SC"/>
        <family val="2"/>
      </rPr>
      <t xml:space="preserve">✅ 门控由 </t>
    </r>
    <r>
      <rPr>
        <sz val="10"/>
        <rFont val="Arial"/>
        <family val="0"/>
        <charset val="1"/>
      </rPr>
      <t xml:space="preserve">p2 </t>
    </r>
    <r>
      <rPr>
        <sz val="10"/>
        <rFont val="Noto Sans CJK SC"/>
        <family val="2"/>
      </rPr>
      <t xml:space="preserve">统一管理</t>
    </r>
  </si>
  <si>
    <r>
      <rPr>
        <sz val="10"/>
        <rFont val="Arial"/>
        <family val="0"/>
        <charset val="1"/>
      </rPr>
      <t xml:space="preserve">F3 / 5.1 </t>
    </r>
    <r>
      <rPr>
        <sz val="10"/>
        <rFont val="Noto Sans CJK SC"/>
        <family val="2"/>
      </rPr>
      <t xml:space="preserve">三合一载荷</t>
    </r>
  </si>
  <si>
    <t xml:space="preserve">PAY-01</t>
  </si>
  <si>
    <r>
      <rPr>
        <sz val="10"/>
        <rFont val="Arial"/>
        <family val="0"/>
        <charset val="1"/>
      </rPr>
      <t xml:space="preserve">GZH-2 </t>
    </r>
    <r>
      <rPr>
        <sz val="10"/>
        <rFont val="Noto Sans CJK SC"/>
        <family val="2"/>
      </rPr>
      <t xml:space="preserve">三合一载荷（</t>
    </r>
    <r>
      <rPr>
        <sz val="10"/>
        <rFont val="Arial"/>
        <family val="0"/>
        <charset val="1"/>
      </rPr>
      <t xml:space="preserve">192.168.144.38</t>
    </r>
    <r>
      <rPr>
        <sz val="10"/>
        <rFont val="Noto Sans CJK SC"/>
        <family val="2"/>
      </rPr>
      <t xml:space="preserve">）包含四个功能通道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</si>
  <si>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2026-07-25 </t>
    </r>
    <r>
      <rPr>
        <sz val="10"/>
        <rFont val="Noto Sans CJK SC"/>
        <family val="2"/>
      </rPr>
      <t xml:space="preserve">真机订正】</t>
    </r>
    <r>
      <rPr>
        <sz val="10"/>
        <rFont val="Arial"/>
        <family val="0"/>
        <charset val="1"/>
      </rPr>
      <t xml:space="preserve">GZH-2 </t>
    </r>
    <r>
      <rPr>
        <sz val="10"/>
        <rFont val="Noto Sans CJK SC"/>
        <family val="2"/>
      </rPr>
      <t xml:space="preserve">三合一载荷（</t>
    </r>
    <r>
      <rPr>
        <sz val="10"/>
        <rFont val="Arial"/>
        <family val="0"/>
        <charset val="1"/>
      </rPr>
      <t xml:space="preserve">192.168.144.38</t>
    </r>
    <r>
      <rPr>
        <sz val="10"/>
        <rFont val="Noto Sans CJK SC"/>
        <family val="2"/>
      </rPr>
      <t xml:space="preserve">）包含四个功能通道：
① 喊话喇叭（</t>
    </r>
    <r>
      <rPr>
        <sz val="10"/>
        <rFont val="Arial"/>
        <family val="0"/>
        <charset val="1"/>
      </rPr>
      <t xml:space="preserve">110 dBA @1 m / 15 W</t>
    </r>
    <r>
      <rPr>
        <sz val="10"/>
        <rFont val="Noto Sans CJK SC"/>
        <family val="2"/>
      </rPr>
      <t xml:space="preserve">，端口 </t>
    </r>
    <r>
      <rPr>
        <sz val="10"/>
        <rFont val="Arial"/>
        <family val="0"/>
        <charset val="1"/>
      </rPr>
      <t xml:space="preserve">8519 </t>
    </r>
    <r>
      <rPr>
        <sz val="10"/>
        <rFont val="Noto Sans CJK SC"/>
        <family val="2"/>
      </rPr>
      <t xml:space="preserve">＝ 音频）
② 红蓝警示灯（端口 </t>
    </r>
    <r>
      <rPr>
        <sz val="10"/>
        <rFont val="Arial"/>
        <family val="0"/>
        <charset val="1"/>
      </rPr>
      <t xml:space="preserve">8529 </t>
    </r>
    <r>
      <rPr>
        <sz val="10"/>
        <rFont val="Noto Sans CJK SC"/>
        <family val="2"/>
      </rPr>
      <t xml:space="preserve">＝ 灯光，</t>
    </r>
    <r>
      <rPr>
        <sz val="10"/>
        <rFont val="Arial"/>
        <family val="0"/>
        <charset val="1"/>
      </rPr>
      <t xml:space="preserve">MSG_REDBLUE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0x07</t>
    </r>
    <r>
      <rPr>
        <sz val="10"/>
        <rFont val="Noto Sans CJK SC"/>
        <family val="2"/>
      </rPr>
      <t xml:space="preserve">）
③ 照明灯 ＝ 补光灯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探照灯（</t>
    </r>
    <r>
      <rPr>
        <sz val="10"/>
        <rFont val="Arial"/>
        <family val="0"/>
        <charset val="1"/>
      </rPr>
      <t xml:space="preserve">8529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MSG_LIGHT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0x01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MSG_BRIGHT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0x02</t>
    </r>
    <r>
      <rPr>
        <sz val="10"/>
        <rFont val="Noto Sans CJK SC"/>
        <family val="2"/>
      </rPr>
      <t xml:space="preserve">，亮度 </t>
    </r>
    <r>
      <rPr>
        <sz val="10"/>
        <rFont val="Arial"/>
        <family val="0"/>
        <charset val="1"/>
      </rPr>
      <t xml:space="preserve">0–30</t>
    </r>
    <r>
      <rPr>
        <sz val="10"/>
        <rFont val="Noto Sans CJK SC"/>
        <family val="2"/>
      </rPr>
      <t xml:space="preserve">）
④ 收音 </t>
    </r>
    <r>
      <rPr>
        <sz val="10"/>
        <rFont val="Arial"/>
        <family val="0"/>
        <charset val="1"/>
      </rPr>
      <t xml:space="preserve">MIC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[40]/[41]</t>
    </r>
    <r>
      <rPr>
        <sz val="10"/>
        <rFont val="Noto Sans CJK SC"/>
        <family val="2"/>
      </rPr>
      <t xml:space="preserve">， 本期不接入功能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语音闭环，见 </t>
    </r>
    <r>
      <rPr>
        <sz val="10"/>
        <rFont val="Arial"/>
        <family val="0"/>
        <charset val="1"/>
      </rPr>
      <t xml:space="preserve">VOI-10b</t>
    </r>
    <r>
      <rPr>
        <sz val="10"/>
        <rFont val="Noto Sans CJK SC"/>
        <family val="2"/>
      </rPr>
      <t xml:space="preserve">）
 订正理由：原文①把「警笛」与「爆闪灯」并成一件设备 —— 真机上警笛是音频（</t>
    </r>
    <r>
      <rPr>
        <sz val="10"/>
        <rFont val="Arial"/>
        <family val="0"/>
        <charset val="1"/>
      </rPr>
      <t xml:space="preserve">8519 </t>
    </r>
    <r>
      <rPr>
        <sz val="10"/>
        <rFont val="Noto Sans CJK SC"/>
        <family val="2"/>
      </rPr>
      <t xml:space="preserve">播 </t>
    </r>
    <r>
      <rPr>
        <sz val="10"/>
        <rFont val="Arial"/>
        <family val="0"/>
        <charset val="1"/>
      </rPr>
      <t xml:space="preserve">WAV</t>
    </r>
    <r>
      <rPr>
        <sz val="10"/>
        <rFont val="Noto Sans CJK SC"/>
        <family val="2"/>
      </rPr>
      <t xml:space="preserve">，无独立硬件通道）、灯光是 </t>
    </r>
    <r>
      <rPr>
        <sz val="10"/>
        <rFont val="Arial"/>
        <family val="0"/>
        <charset val="1"/>
      </rPr>
      <t xml:space="preserve">8529</t>
    </r>
    <r>
      <rPr>
        <sz val="10"/>
        <rFont val="Noto Sans CJK SC"/>
        <family val="2"/>
      </rPr>
      <t xml:space="preserve">，二者不同端口；②把两种灯混为一谈；③漏掉内置 </t>
    </r>
    <r>
      <rPr>
        <sz val="10"/>
        <rFont val="Arial"/>
        <family val="0"/>
        <charset val="1"/>
      </rPr>
      <t xml:space="preserve">MIC</t>
    </r>
  </si>
  <si>
    <r>
      <rPr>
        <sz val="10"/>
        <rFont val="Noto Sans CJK SC"/>
        <family val="2"/>
      </rPr>
      <t xml:space="preserve">【真机】经语音 </t>
    </r>
    <r>
      <rPr>
        <sz val="10"/>
        <rFont val="Arial"/>
        <family val="0"/>
        <charset val="1"/>
      </rPr>
      <t xml:space="preserve">D/E </t>
    </r>
    <r>
      <rPr>
        <sz val="10"/>
        <rFont val="Noto Sans CJK SC"/>
        <family val="2"/>
      </rPr>
      <t xml:space="preserve">类、</t>
    </r>
    <r>
      <rPr>
        <sz val="10"/>
        <rFont val="Arial"/>
        <family val="0"/>
        <charset val="1"/>
      </rPr>
      <t xml:space="preserve">cmd/payload</t>
    </r>
    <r>
      <rPr>
        <sz val="10"/>
        <rFont val="Noto Sans CJK SC"/>
        <family val="2"/>
      </rPr>
      <t xml:space="preserve">、云端 </t>
    </r>
    <r>
      <rPr>
        <sz val="10"/>
        <rFont val="Arial"/>
        <family val="0"/>
        <charset val="1"/>
      </rPr>
      <t xml:space="preserve">cmd/ptz </t>
    </r>
    <r>
      <rPr>
        <sz val="10"/>
        <rFont val="Noto Sans CJK SC"/>
        <family val="2"/>
      </rPr>
      <t xml:space="preserve">触发，核对 </t>
    </r>
    <r>
      <rPr>
        <sz val="10"/>
        <rFont val="Arial"/>
        <family val="0"/>
        <charset val="1"/>
      </rPr>
      <t xml:space="preserve">payload /status</t>
    </r>
    <r>
      <rPr>
        <sz val="10"/>
        <rFont val="Noto Sans CJK SC"/>
        <family val="2"/>
      </rPr>
      <t xml:space="preserve">、云台回执，并由现场观察灯光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声音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云台动作。</t>
    </r>
  </si>
  <si>
    <r>
      <rPr>
        <sz val="10"/>
        <rFont val="Noto Sans CJK SC"/>
        <family val="2"/>
      </rPr>
      <t xml:space="preserve">✅ 喊话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红蓝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探照灯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警笛通道在用（</t>
    </r>
    <r>
      <rPr>
        <sz val="10"/>
        <rFont val="Arial"/>
        <family val="0"/>
        <charset val="1"/>
      </rPr>
      <t xml:space="preserve">10-28/29</t>
    </r>
    <r>
      <rPr>
        <sz val="10"/>
        <rFont val="Noto Sans CJK SC"/>
        <family val="2"/>
      </rPr>
      <t xml:space="preserve">）</t>
    </r>
  </si>
  <si>
    <t xml:space="preserve">PAY-01a</t>
  </si>
  <si>
    <t xml:space="preserve">载荷的独占粒度 ＝ 设备级，不是通道级</t>
  </si>
  <si>
    <r>
      <rPr>
        <sz val="10"/>
        <rFont val="Noto Sans CJK SC"/>
        <family val="2"/>
      </rPr>
      <t xml:space="preserve">【新增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定义 </t>
    </r>
    <r>
      <rPr>
        <sz val="10"/>
        <rFont val="Arial"/>
        <family val="0"/>
        <charset val="1"/>
      </rPr>
      <t xml:space="preserve">§1.4 </t>
    </r>
    <r>
      <rPr>
        <sz val="10"/>
        <rFont val="Noto Sans CJK SC"/>
        <family val="2"/>
      </rPr>
      <t xml:space="preserve">载荷行引用的编号】载荷的独占粒度 ＝ 设备级，不是通道级：
 对外是一台设备，由 </t>
    </r>
    <r>
      <rPr>
        <sz val="10"/>
        <rFont val="Arial"/>
        <family val="0"/>
        <charset val="1"/>
      </rPr>
      <t xml:space="preserve">payload-service </t>
    </r>
    <r>
      <rPr>
        <sz val="10"/>
        <rFont val="Noto Sans CJK SC"/>
        <family val="2"/>
      </rPr>
      <t xml:space="preserve">进程独占持有（ </t>
    </r>
    <r>
      <rPr>
        <sz val="10"/>
        <rFont val="Arial"/>
        <family val="0"/>
        <charset val="1"/>
      </rPr>
      <t xml:space="preserve">14 PAY-L2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GZH-2 socket </t>
    </r>
    <r>
      <rPr>
        <sz val="10"/>
        <rFont val="Noto Sans CJK SC"/>
        <family val="2"/>
      </rPr>
      <t xml:space="preserve">的唯一持有者；进程内串行化所有下发， </t>
    </r>
    <r>
      <rPr>
        <sz val="10"/>
        <rFont val="Arial"/>
        <family val="0"/>
        <charset val="1"/>
      </rPr>
      <t xml:space="preserve">P2 / P4 </t>
    </r>
    <r>
      <rPr>
        <sz val="10"/>
        <rFont val="Noto Sans CJK SC"/>
        <family val="2"/>
      </rPr>
      <t xml:space="preserve">均不得直连 </t>
    </r>
    <r>
      <rPr>
        <sz val="10"/>
        <rFont val="Arial"/>
        <family val="0"/>
        <charset val="1"/>
      </rPr>
      <t xml:space="preserve">8519/8529</t>
    </r>
    <r>
      <rPr>
        <sz val="10"/>
        <rFont val="Noto Sans CJK SC"/>
        <family val="2"/>
      </rPr>
      <t xml:space="preserve">）；
 但 </t>
    </r>
    <r>
      <rPr>
        <sz val="10"/>
        <rFont val="Arial"/>
        <family val="0"/>
        <charset val="1"/>
      </rPr>
      <t xml:space="preserve">8519</t>
    </r>
    <r>
      <rPr>
        <sz val="10"/>
        <rFont val="Noto Sans CJK SC"/>
        <family val="2"/>
      </rPr>
      <t xml:space="preserve">（音频）与 </t>
    </r>
    <r>
      <rPr>
        <sz val="10"/>
        <rFont val="Arial"/>
        <family val="0"/>
        <charset val="1"/>
      </rPr>
      <t xml:space="preserve">8529</t>
    </r>
    <r>
      <rPr>
        <sz val="10"/>
        <rFont val="Noto Sans CJK SC"/>
        <family val="2"/>
      </rPr>
      <t xml:space="preserve">（灯光）是两个独立 </t>
    </r>
    <r>
      <rPr>
        <sz val="10"/>
        <rFont val="Arial"/>
        <family val="0"/>
        <charset val="1"/>
      </rPr>
      <t xml:space="preserve">TCP socket</t>
    </r>
    <r>
      <rPr>
        <sz val="10"/>
        <rFont val="Noto Sans CJK SC"/>
        <family val="2"/>
      </rPr>
      <t xml:space="preserve">，可并发（真机已验证）—— 因此「放警笛」与「点红蓝灯」不互相排队；
 </t>
    </r>
    <r>
      <rPr>
        <sz val="10"/>
        <rFont val="Arial"/>
        <family val="0"/>
        <charset val="1"/>
      </rPr>
      <t xml:space="preserve">8519 </t>
    </r>
    <r>
      <rPr>
        <sz val="10"/>
        <rFont val="Noto Sans CJK SC"/>
        <family val="2"/>
      </rPr>
      <t xml:space="preserve">内部才是串行的：警笛 </t>
    </r>
    <r>
      <rPr>
        <sz val="10"/>
        <rFont val="Arial"/>
        <family val="0"/>
        <charset val="1"/>
      </rPr>
      <t xml:space="preserve">WAV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喊话共用同一个喇叭、同一条 </t>
    </r>
    <r>
      <rPr>
        <sz val="10"/>
        <rFont val="Arial"/>
        <family val="0"/>
        <charset val="1"/>
      </rPr>
      <t xml:space="preserve">8519 </t>
    </r>
    <r>
      <rPr>
        <sz val="10"/>
        <rFont val="Noto Sans CJK SC"/>
        <family val="2"/>
      </rPr>
      <t xml:space="preserve">链路 ⇒ 警笛与喊话不会同时响，必然串行（</t>
    </r>
    <r>
      <rPr>
        <sz val="10"/>
        <rFont val="Arial"/>
        <family val="0"/>
        <charset val="1"/>
      </rPr>
      <t xml:space="preserve">14 §7.3 Phase A / Phase B </t>
    </r>
    <r>
      <rPr>
        <sz val="10"/>
        <rFont val="Noto Sans CJK SC"/>
        <family val="2"/>
      </rPr>
      <t xml:space="preserve">即此约束的产物）。
 仲裁映射：喇叭 ＝ </t>
    </r>
    <r>
      <rPr>
        <sz val="10"/>
        <rFont val="Arial"/>
        <family val="0"/>
        <charset val="1"/>
      </rPr>
      <t xml:space="preserve">CON-01 </t>
    </r>
    <r>
      <rPr>
        <sz val="10"/>
        <rFont val="Noto Sans CJK SC"/>
        <family val="2"/>
      </rPr>
      <t xml:space="preserve">域②（</t>
    </r>
    <r>
      <rPr>
        <sz val="10"/>
        <rFont val="Arial"/>
        <family val="0"/>
        <charset val="1"/>
      </rPr>
      <t xml:space="preserve">8519</t>
    </r>
    <r>
      <rPr>
        <sz val="10"/>
        <rFont val="Noto Sans CJK SC"/>
        <family val="2"/>
      </rPr>
      <t xml:space="preserve">）；灯光 ＝ </t>
    </r>
    <r>
      <rPr>
        <sz val="10"/>
        <rFont val="Arial"/>
        <family val="0"/>
        <charset val="1"/>
      </rPr>
      <t xml:space="preserve">CON-01 </t>
    </r>
    <r>
      <rPr>
        <sz val="10"/>
        <rFont val="Noto Sans CJK SC"/>
        <family val="2"/>
      </rPr>
      <t xml:space="preserve">域④（</t>
    </r>
    <r>
      <rPr>
        <sz val="10"/>
        <rFont val="Arial"/>
        <family val="0"/>
        <charset val="1"/>
      </rPr>
      <t xml:space="preserve">8529</t>
    </r>
    <r>
      <rPr>
        <sz val="10"/>
        <rFont val="Noto Sans CJK SC"/>
        <family val="2"/>
      </rPr>
      <t xml:space="preserve">）—— 两域互不阻塞。
 作废 —— 照该表述实现会把灯光排在音频后面，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模式下灯要等警笛播完才亮</t>
    </r>
  </si>
  <si>
    <t xml:space="preserve">PAY-02</t>
  </si>
  <si>
    <r>
      <rPr>
        <sz val="10"/>
        <rFont val="Noto Sans CJK SC"/>
        <family val="2"/>
      </rPr>
      <t xml:space="preserve">灯光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警笛状态由模式驱动，语义按 </t>
    </r>
    <r>
      <rPr>
        <sz val="10"/>
        <rFont val="Arial"/>
        <family val="0"/>
        <charset val="1"/>
      </rPr>
      <t xml:space="preserve">PAY-02c </t>
    </r>
    <r>
      <rPr>
        <sz val="10"/>
        <rFont val="Noto Sans CJK SC"/>
        <family val="2"/>
      </rPr>
      <t xml:space="preserve">定义的通道映射执行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</si>
  <si>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2026-07-25 </t>
    </r>
    <r>
      <rPr>
        <sz val="10"/>
        <rFont val="Noto Sans CJK SC"/>
        <family val="2"/>
      </rPr>
      <t xml:space="preserve">真机订正】灯光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警笛状态由模式驱动，语义按 </t>
    </r>
    <r>
      <rPr>
        <sz val="10"/>
        <rFont val="Arial"/>
        <family val="0"/>
        <charset val="1"/>
      </rPr>
      <t xml:space="preserve">PAY-02c </t>
    </r>
    <r>
      <rPr>
        <sz val="10"/>
        <rFont val="Noto Sans CJK SC"/>
        <family val="2"/>
      </rPr>
      <t xml:space="preserve">定义的通道映射执行：
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 → 警笛 </t>
    </r>
    <r>
      <rPr>
        <sz val="10"/>
        <rFont val="Arial"/>
        <family val="0"/>
        <charset val="1"/>
      </rPr>
      <t xml:space="preserve">ON </t>
    </r>
    <r>
      <rPr>
        <sz val="10"/>
        <rFont val="Noto Sans CJK SC"/>
        <family val="2"/>
      </rPr>
      <t xml:space="preserve">＋ 红蓝双闪 </t>
    </r>
    <r>
      <rPr>
        <sz val="10"/>
        <rFont val="Arial"/>
        <family val="0"/>
        <charset val="1"/>
      </rPr>
      <t xml:space="preserve">ON </t>
    </r>
    <r>
      <rPr>
        <sz val="10"/>
        <rFont val="Noto Sans CJK SC"/>
        <family val="2"/>
      </rPr>
      <t xml:space="preserve">＋ 探照灯常亮（不闪）
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模式 → 警笛 </t>
    </r>
    <r>
      <rPr>
        <sz val="10"/>
        <rFont val="Arial"/>
        <family val="0"/>
        <charset val="1"/>
      </rPr>
      <t xml:space="preserve">OFF </t>
    </r>
    <r>
      <rPr>
        <sz val="10"/>
        <rFont val="Noto Sans CJK SC"/>
        <family val="2"/>
      </rPr>
      <t xml:space="preserve">＋ 红蓝双闪 </t>
    </r>
    <r>
      <rPr>
        <sz val="10"/>
        <rFont val="Arial"/>
        <family val="0"/>
        <charset val="1"/>
      </rPr>
      <t xml:space="preserve">ON </t>
    </r>
    <r>
      <rPr>
        <sz val="10"/>
        <rFont val="Noto Sans CJK SC"/>
        <family val="2"/>
      </rPr>
      <t xml:space="preserve">＋ 探照灯按 </t>
    </r>
    <r>
      <rPr>
        <sz val="10"/>
        <rFont val="Arial"/>
        <family val="0"/>
        <charset val="1"/>
      </rPr>
      <t xml:space="preserve">auto </t>
    </r>
    <r>
      <rPr>
        <sz val="10"/>
        <rFont val="Noto Sans CJK SC"/>
        <family val="2"/>
      </rPr>
      <t xml:space="preserve">档判据
 订正理由：「爆闪」一词在真机上对应两个不同寄存器，照原文实现会驱错寄存器（威慑双闪打到探照灯上，本该常亮的补光灯反而在闪）</t>
    </r>
  </si>
  <si>
    <r>
      <rPr>
        <sz val="10"/>
        <rFont val="Arial"/>
        <family val="0"/>
        <charset val="1"/>
      </rPr>
      <t xml:space="preserve">✅ B/D </t>
    </r>
    <r>
      <rPr>
        <sz val="10"/>
        <rFont val="Noto Sans CJK SC"/>
        <family val="2"/>
      </rPr>
      <t xml:space="preserve">进出灯光由模式驱动（</t>
    </r>
    <r>
      <rPr>
        <sz val="10"/>
        <rFont val="Arial"/>
        <family val="0"/>
        <charset val="1"/>
      </rPr>
      <t xml:space="preserve">10-28/29</t>
    </r>
    <r>
      <rPr>
        <sz val="10"/>
        <rFont val="Noto Sans CJK SC"/>
        <family val="2"/>
      </rPr>
      <t xml:space="preserve">）</t>
    </r>
  </si>
  <si>
    <t xml:space="preserve">PAY-02c</t>
  </si>
  <si>
    <r>
      <rPr>
        <sz val="10"/>
        <rFont val="Noto Sans CJK SC"/>
        <family val="2"/>
      </rPr>
      <t xml:space="preserve">全文档出现的「爆闪 </t>
    </r>
    <r>
      <rPr>
        <sz val="10"/>
        <rFont val="Arial"/>
        <family val="0"/>
        <charset val="1"/>
      </rPr>
      <t xml:space="preserve">/ strobe</t>
    </r>
    <r>
      <rPr>
        <sz val="10"/>
        <rFont val="Noto Sans CJK SC"/>
        <family val="2"/>
      </rPr>
      <t xml:space="preserve">」一词，一律按 </t>
    </r>
    <r>
      <rPr>
        <sz val="10"/>
        <rFont val="Arial"/>
        <family val="0"/>
        <charset val="1"/>
      </rPr>
      <t xml:space="preserve">§5.1.1 </t>
    </r>
    <r>
      <rPr>
        <sz val="10"/>
        <rFont val="Noto Sans CJK SC"/>
        <family val="2"/>
      </rPr>
      <t xml:space="preserve">的通道映射解释</t>
    </r>
  </si>
  <si>
    <r>
      <rPr>
        <sz val="10"/>
        <rFont val="Noto Sans CJK SC"/>
        <family val="2"/>
      </rPr>
      <t xml:space="preserve">【新增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灯光语义的唯一权威判据】全文档出现的「爆闪 </t>
    </r>
    <r>
      <rPr>
        <sz val="10"/>
        <rFont val="Arial"/>
        <family val="0"/>
        <charset val="1"/>
      </rPr>
      <t xml:space="preserve">/ strobe</t>
    </r>
    <r>
      <rPr>
        <sz val="10"/>
        <rFont val="Noto Sans CJK SC"/>
        <family val="2"/>
      </rPr>
      <t xml:space="preserve">」一词，一律按 </t>
    </r>
    <r>
      <rPr>
        <sz val="10"/>
        <rFont val="Arial"/>
        <family val="0"/>
        <charset val="1"/>
      </rPr>
      <t xml:space="preserve">§5.1.1 </t>
    </r>
    <r>
      <rPr>
        <sz val="10"/>
        <rFont val="Noto Sans CJK SC"/>
        <family val="2"/>
      </rPr>
      <t xml:space="preserve">的通道映射解释。
 完整定义（通道映射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模式→输出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四条硬约束）见下方 </t>
    </r>
    <r>
      <rPr>
        <sz val="10"/>
        <rFont val="Arial"/>
        <family val="0"/>
        <charset val="1"/>
      </rPr>
      <t xml:space="preserve">§5.1.1 —— </t>
    </r>
    <r>
      <rPr>
        <sz val="10"/>
        <rFont val="Noto Sans CJK SC"/>
        <family val="2"/>
      </rPr>
      <t xml:space="preserve">因内容含表格，独立成节，不塞进本行</t>
    </r>
  </si>
  <si>
    <t xml:space="preserve">✅ 爆闪语义按红蓝双闪落地</t>
  </si>
  <si>
    <t xml:space="preserve">PAY-02b</t>
  </si>
  <si>
    <t xml:space="preserve">底盘灯与我方载荷灯必须分开建模</t>
  </si>
  <si>
    <r>
      <rPr>
        <sz val="10"/>
        <rFont val="Noto Sans CJK SC"/>
        <family val="2"/>
      </rPr>
      <t xml:space="preserve">底盘灯与我方载荷灯必须分开建模：底盘提供前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后照明灯开关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尾灯自定义灯语（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种模式），但灯语颜色仅黑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绿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蓝，无红色。因此警示（红蓝双闪）的威慑效果必须由我方三合一载荷提供，底盘灯仅作辅助照明。
 实测后本条更硬：红蓝警示灯是载荷独有通道（</t>
    </r>
    <r>
      <rPr>
        <sz val="10"/>
        <rFont val="Arial"/>
        <family val="0"/>
        <charset val="1"/>
      </rPr>
      <t xml:space="preserve">MSG_REDBLUE</t>
    </r>
    <r>
      <rPr>
        <sz val="10"/>
        <rFont val="Noto Sans CJK SC"/>
        <family val="2"/>
      </rPr>
      <t xml:space="preserve">），底盘侧物理上没有红色（</t>
    </r>
    <r>
      <rPr>
        <sz val="10"/>
        <rFont val="Arial"/>
        <family val="0"/>
        <charset val="1"/>
      </rPr>
      <t xml:space="preserve">11 §9.4.1</t>
    </r>
    <r>
      <rPr>
        <sz val="10"/>
        <rFont val="Noto Sans CJK SC"/>
        <family val="2"/>
      </rPr>
      <t xml:space="preserve">）</t>
    </r>
  </si>
  <si>
    <t xml:space="preserve">PAY-03</t>
  </si>
  <si>
    <r>
      <rPr>
        <sz val="10"/>
        <rFont val="Noto Sans CJK SC"/>
        <family val="2"/>
      </rPr>
      <t xml:space="preserve">照明灯（＝探照灯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补光灯，</t>
    </r>
    <r>
      <rPr>
        <sz val="10"/>
        <rFont val="Arial"/>
        <family val="0"/>
        <charset val="1"/>
      </rPr>
      <t xml:space="preserve">MSG_LIGHT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MSG_BRIGHT</t>
    </r>
    <r>
      <rPr>
        <sz val="10"/>
        <rFont val="Noto Sans CJK SC"/>
        <family val="2"/>
      </rPr>
      <t xml:space="preserve">）按环境光自动控制（</t>
    </r>
    <r>
      <rPr>
        <sz val="10"/>
        <rFont val="Arial"/>
        <family val="0"/>
        <charset val="1"/>
      </rPr>
      <t xml:space="preserve">auto </t>
    </r>
    <r>
      <rPr>
        <sz val="10"/>
        <rFont val="Noto Sans CJK SC"/>
        <family val="2"/>
      </rPr>
      <t xml:space="preserve">档），并作为夜间感知的组…</t>
    </r>
  </si>
  <si>
    <r>
      <rPr>
        <sz val="10"/>
        <rFont val="Noto Sans CJK SC"/>
        <family val="2"/>
      </rPr>
      <t xml:space="preserve">正式需求（原【建议】，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结账）：照明灯（＝探照灯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补光灯，</t>
    </r>
    <r>
      <rPr>
        <sz val="10"/>
        <rFont val="Arial"/>
        <family val="0"/>
        <charset val="1"/>
      </rPr>
      <t xml:space="preserve">MSG_LIGHT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MSG_BRIGHT</t>
    </r>
    <r>
      <rPr>
        <sz val="10"/>
        <rFont val="Noto Sans CJK SC"/>
        <family val="2"/>
      </rPr>
      <t xml:space="preserve">）按环境光自动控制（</t>
    </r>
    <r>
      <rPr>
        <sz val="10"/>
        <rFont val="Arial"/>
        <family val="0"/>
        <charset val="1"/>
      </rPr>
      <t xml:space="preserve">auto </t>
    </r>
    <r>
      <rPr>
        <sz val="10"/>
        <rFont val="Noto Sans CJK SC"/>
        <family val="2"/>
      </rPr>
      <t xml:space="preserve">档），并作为夜间感知的组成部分，见 </t>
    </r>
    <r>
      <rPr>
        <sz val="10"/>
        <rFont val="Arial"/>
        <family val="0"/>
        <charset val="1"/>
      </rPr>
      <t xml:space="preserve">PER-40 / PER-42</t>
    </r>
    <r>
      <rPr>
        <sz val="10"/>
        <rFont val="Noto Sans CJK SC"/>
        <family val="2"/>
      </rPr>
      <t xml:space="preserve">。 落点：</t>
    </r>
    <r>
      <rPr>
        <sz val="10"/>
        <rFont val="Arial"/>
        <family val="0"/>
        <charset val="1"/>
      </rPr>
      <t xml:space="preserve">14 §4.3.2 light_effective </t>
    </r>
    <r>
      <rPr>
        <sz val="10"/>
        <rFont val="Noto Sans CJK SC"/>
        <family val="2"/>
      </rPr>
      <t xml:space="preserve">判据链； 由 </t>
    </r>
    <r>
      <rPr>
        <sz val="10"/>
        <rFont val="Arial"/>
        <family val="0"/>
        <charset val="1"/>
      </rPr>
      <t xml:space="preserve">night_patrol.enabled </t>
    </r>
    <r>
      <rPr>
        <sz val="10"/>
        <rFont val="Noto Sans CJK SC"/>
        <family val="2"/>
      </rPr>
      <t xml:space="preserve">整组开关控制（</t>
    </r>
    <r>
      <rPr>
        <sz val="10"/>
        <rFont val="Arial"/>
        <family val="0"/>
        <charset val="1"/>
      </rPr>
      <t xml:space="preserve">PER-40</t>
    </r>
    <r>
      <rPr>
        <sz val="10"/>
        <rFont val="Noto Sans CJK SC"/>
        <family val="2"/>
      </rPr>
      <t xml:space="preserve">）。
 注意：</t>
    </r>
    <r>
      <rPr>
        <sz val="10"/>
        <rFont val="Arial"/>
        <family val="0"/>
        <charset val="1"/>
      </rPr>
      <t xml:space="preserve">auto </t>
    </r>
    <r>
      <rPr>
        <sz val="10"/>
        <rFont val="Noto Sans CJK SC"/>
        <family val="2"/>
      </rPr>
      <t xml:space="preserve">是档位（操作员意图），模式不改档位，只影响 </t>
    </r>
    <r>
      <rPr>
        <sz val="10"/>
        <rFont val="Arial"/>
        <family val="0"/>
        <charset val="1"/>
      </rPr>
      <t xml:space="preserve">light_effective —— </t>
    </r>
    <r>
      <rPr>
        <sz val="10"/>
        <rFont val="Noto Sans CJK SC"/>
        <family val="2"/>
      </rPr>
      <t xml:space="preserve">否则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模式退出后操作员会发现自己的 </t>
    </r>
    <r>
      <rPr>
        <sz val="10"/>
        <rFont val="Arial"/>
        <family val="0"/>
        <charset val="1"/>
      </rPr>
      <t xml:space="preserve">auto </t>
    </r>
    <r>
      <rPr>
        <sz val="10"/>
        <rFont val="Noto Sans CJK SC"/>
        <family val="2"/>
      </rPr>
      <t xml:space="preserve">档不见了</t>
    </r>
  </si>
  <si>
    <r>
      <rPr>
        <sz val="10"/>
        <rFont val="Noto Sans CJK SC"/>
        <family val="2"/>
      </rPr>
      <t xml:space="preserve">❌ 自动照明未接线（标定值为 </t>
    </r>
    <r>
      <rPr>
        <sz val="10"/>
        <rFont val="Arial"/>
        <family val="0"/>
        <charset val="1"/>
      </rPr>
      <t xml:space="preserve">null</t>
    </r>
    <r>
      <rPr>
        <sz val="10"/>
        <rFont val="Noto Sans CJK SC"/>
        <family val="2"/>
      </rPr>
      <t xml:space="preserve">）</t>
    </r>
  </si>
  <si>
    <t xml:space="preserve">PAY-04</t>
  </si>
  <si>
    <t xml:space="preserve">喊话、红蓝双闪属于对外部有实际影响的动作，误触发有现实后果，必须分级授权</t>
  </si>
  <si>
    <r>
      <rPr>
        <sz val="10"/>
        <rFont val="Noto Sans CJK SC"/>
        <family val="2"/>
      </rPr>
      <t xml:space="preserve">正式需求（原【建议】，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结账）：喊话、红蓝双闪属于对外部有实际影响的动作，误触发有现实后果，必须分级授权：
</t>
    </r>
    <r>
      <rPr>
        <sz val="10"/>
        <rFont val="Arial"/>
        <family val="0"/>
        <charset val="1"/>
      </rPr>
      <t xml:space="preserve">L1 </t>
    </r>
    <r>
      <rPr>
        <sz val="10"/>
        <rFont val="Noto Sans CJK SC"/>
        <family val="2"/>
      </rPr>
      <t xml:space="preserve">自动（照明）
</t>
    </r>
    <r>
      <rPr>
        <sz val="10"/>
        <rFont val="Arial"/>
        <family val="0"/>
        <charset val="1"/>
      </rPr>
      <t xml:space="preserve">L2 </t>
    </r>
    <r>
      <rPr>
        <sz val="10"/>
        <rFont val="Noto Sans CJK SC"/>
        <family val="2"/>
      </rPr>
      <t xml:space="preserve">策略允许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记录（预设语句喊话、警示灯）
</t>
    </r>
    <r>
      <rPr>
        <sz val="10"/>
        <rFont val="Arial"/>
        <family val="0"/>
        <charset val="1"/>
      </rPr>
      <t xml:space="preserve">L3 </t>
    </r>
    <r>
      <rPr>
        <sz val="10"/>
        <rFont val="Noto Sans CJK SC"/>
        <family val="2"/>
      </rPr>
      <t xml:space="preserve">需人工确认（自定义喊话内容、持续跟随）
 落点：</t>
    </r>
    <r>
      <rPr>
        <sz val="10"/>
        <rFont val="Arial"/>
        <family val="0"/>
        <charset val="1"/>
      </rPr>
      <t xml:space="preserve">18 §0.3 </t>
    </r>
    <r>
      <rPr>
        <sz val="10"/>
        <rFont val="Noto Sans CJK SC"/>
        <family val="2"/>
      </rPr>
      <t xml:space="preserve">确认级别表 </t>
    </r>
    <r>
      <rPr>
        <sz val="10"/>
        <rFont val="Arial"/>
        <family val="0"/>
        <charset val="1"/>
      </rPr>
      <t xml:space="preserve">· CMD-33</t>
    </r>
    <r>
      <rPr>
        <sz val="10"/>
        <rFont val="Noto Sans CJK SC"/>
        <family val="2"/>
      </rPr>
      <t xml:space="preserve">。 本条与 </t>
    </r>
    <r>
      <rPr>
        <sz val="10"/>
        <rFont val="Arial"/>
        <family val="0"/>
        <charset val="1"/>
      </rPr>
      <t xml:space="preserve">§4.10.3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L0/L1a/L1b/L2/L3 </t>
    </r>
    <r>
      <rPr>
        <sz val="10"/>
        <rFont val="Noto Sans CJK SC"/>
        <family val="2"/>
      </rPr>
      <t xml:space="preserve">是同一套级别，不是两套</t>
    </r>
  </si>
  <si>
    <t xml:space="preserve">🟡 确认级别有单测</t>
  </si>
  <si>
    <t xml:space="preserve">PAY-05</t>
  </si>
  <si>
    <r>
      <rPr>
        <sz val="10"/>
        <rFont val="Noto Sans CJK SC"/>
        <family val="2"/>
      </rPr>
      <t xml:space="preserve">不得由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直接触发 </t>
    </r>
    <r>
      <rPr>
        <sz val="10"/>
        <rFont val="Arial"/>
        <family val="0"/>
        <charset val="1"/>
      </rPr>
      <t xml:space="preserve">L2/L3 </t>
    </r>
    <r>
      <rPr>
        <sz val="10"/>
        <rFont val="Noto Sans CJK SC"/>
        <family val="2"/>
      </rPr>
      <t xml:space="preserve">动作</t>
    </r>
  </si>
  <si>
    <r>
      <rPr>
        <sz val="10"/>
        <rFont val="Noto Sans CJK SC"/>
        <family val="2"/>
      </rPr>
      <t xml:space="preserve">正式需求（原【建议】，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结账）：不得由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直接触发 </t>
    </r>
    <r>
      <rPr>
        <sz val="10"/>
        <rFont val="Arial"/>
        <family val="0"/>
        <charset val="1"/>
      </rPr>
      <t xml:space="preserve">L2/L3 </t>
    </r>
    <r>
      <rPr>
        <sz val="10"/>
        <rFont val="Noto Sans CJK SC"/>
        <family val="2"/>
      </rPr>
      <t xml:space="preserve">动作。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建议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，执行必须经策略层校验和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或人工确认。 落点：</t>
    </r>
    <r>
      <rPr>
        <sz val="10"/>
        <rFont val="Arial"/>
        <family val="0"/>
        <charset val="1"/>
      </rPr>
      <t xml:space="preserve">16 </t>
    </r>
    <r>
      <rPr>
        <sz val="10"/>
        <rFont val="Noto Sans CJK SC"/>
        <family val="2"/>
      </rPr>
      <t xml:space="preserve">的确定性校验层 </t>
    </r>
    <r>
      <rPr>
        <sz val="10"/>
        <rFont val="Arial"/>
        <family val="0"/>
        <charset val="1"/>
      </rPr>
      <t xml:space="preserve">· CMD-40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不产生数据」</t>
    </r>
  </si>
  <si>
    <r>
      <rPr>
        <sz val="10"/>
        <rFont val="Arial"/>
        <family val="0"/>
        <charset val="1"/>
      </rPr>
      <t xml:space="preserve">F3 / 5.2 PTZ </t>
    </r>
    <r>
      <rPr>
        <sz val="10"/>
        <rFont val="Noto Sans CJK SC"/>
        <family val="2"/>
      </rPr>
      <t xml:space="preserve">云台相机（布控球）</t>
    </r>
  </si>
  <si>
    <t xml:space="preserve">PAY-10</t>
  </si>
  <si>
    <t xml:space="preserve">观察相机用于落地场景观察</t>
  </si>
  <si>
    <r>
      <rPr>
        <sz val="10"/>
        <rFont val="Noto Sans CJK SC"/>
        <family val="2"/>
      </rPr>
      <t xml:space="preserve">观察相机用于落地场景观察。 分辨率订正：主码流实测 </t>
    </r>
    <r>
      <rPr>
        <sz val="10"/>
        <rFont val="Arial"/>
        <family val="0"/>
        <charset val="1"/>
      </rPr>
      <t xml:space="preserve">2560×1440@25fps</t>
    </r>
    <r>
      <rPr>
        <sz val="10"/>
        <rFont val="Noto Sans CJK SC"/>
        <family val="2"/>
      </rPr>
      <t xml:space="preserve">（约 </t>
    </r>
    <r>
      <rPr>
        <sz val="10"/>
        <rFont val="Arial"/>
        <family val="0"/>
        <charset val="1"/>
      </rPr>
      <t xml:space="preserve">3.7 MP</t>
    </r>
    <r>
      <rPr>
        <sz val="10"/>
        <rFont val="Noto Sans CJK SC"/>
        <family val="2"/>
      </rPr>
      <t xml:space="preserve">）—— 不是 </t>
    </r>
    <r>
      <rPr>
        <sz val="10"/>
        <rFont val="Arial"/>
        <family val="0"/>
        <charset val="1"/>
      </rPr>
      <t xml:space="preserve">4K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3840×2160</t>
    </r>
    <r>
      <rPr>
        <sz val="10"/>
        <rFont val="Noto Sans CJK SC"/>
        <family val="2"/>
      </rPr>
      <t xml:space="preserve">）。 是否另有 </t>
    </r>
    <r>
      <rPr>
        <sz val="10"/>
        <rFont val="Arial"/>
        <family val="0"/>
        <charset val="1"/>
      </rPr>
      <t xml:space="preserve">4K </t>
    </r>
    <r>
      <rPr>
        <sz val="10"/>
        <rFont val="Noto Sans CJK SC"/>
        <family val="2"/>
      </rPr>
      <t xml:space="preserve">档位待确认（</t>
    </r>
    <r>
      <rPr>
        <sz val="10"/>
        <rFont val="Arial"/>
        <family val="0"/>
        <charset val="1"/>
      </rPr>
      <t xml:space="preserve">T-PTZ-6</t>
    </r>
    <r>
      <rPr>
        <sz val="10"/>
        <rFont val="Noto Sans CJK SC"/>
        <family val="2"/>
      </rPr>
      <t xml:space="preserve">）。 涉及 </t>
    </r>
    <r>
      <rPr>
        <sz val="10"/>
        <rFont val="Arial"/>
        <family val="0"/>
        <charset val="1"/>
      </rPr>
      <t xml:space="preserve">§11.6 </t>
    </r>
    <r>
      <rPr>
        <sz val="10"/>
        <rFont val="Noto Sans CJK SC"/>
        <family val="2"/>
      </rPr>
      <t xml:space="preserve">带宽账与云端解码窗口尺寸，不可继续按 </t>
    </r>
    <r>
      <rPr>
        <sz val="10"/>
        <rFont val="Arial"/>
        <family val="0"/>
        <charset val="1"/>
      </rPr>
      <t xml:space="preserve">4K </t>
    </r>
    <r>
      <rPr>
        <sz val="10"/>
        <rFont val="Noto Sans CJK SC"/>
        <family val="2"/>
      </rPr>
      <t xml:space="preserve">规划</t>
    </r>
  </si>
  <si>
    <r>
      <rPr>
        <sz val="10"/>
        <rFont val="Noto Sans CJK SC"/>
        <family val="2"/>
      </rPr>
      <t xml:space="preserve">🟡 未核：云台能力实测记录在文档；控制链路见 </t>
    </r>
    <r>
      <rPr>
        <sz val="10"/>
        <rFont val="Arial"/>
        <family val="0"/>
        <charset val="1"/>
      </rPr>
      <t xml:space="preserve">F3 </t>
    </r>
    <r>
      <rPr>
        <sz val="10"/>
        <rFont val="Noto Sans CJK SC"/>
        <family val="2"/>
      </rPr>
      <t xml:space="preserve">其余行</t>
    </r>
  </si>
  <si>
    <t xml:space="preserve">PAY-11</t>
  </si>
  <si>
    <r>
      <rPr>
        <sz val="10"/>
        <rFont val="Noto Sans CJK SC"/>
        <family val="2"/>
      </rPr>
      <t xml:space="preserve">支持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轴（</t>
    </r>
    <r>
      <rPr>
        <sz val="10"/>
        <rFont val="Arial"/>
        <family val="0"/>
        <charset val="1"/>
      </rPr>
      <t xml:space="preserve">pan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0–360°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Y </t>
    </r>
    <r>
      <rPr>
        <sz val="10"/>
        <rFont val="Noto Sans CJK SC"/>
        <family val="2"/>
      </rPr>
      <t xml:space="preserve">轴（</t>
    </r>
    <r>
      <rPr>
        <sz val="10"/>
        <rFont val="Arial"/>
        <family val="0"/>
        <charset val="1"/>
      </rPr>
      <t xml:space="preserve">tilt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±90° </t>
    </r>
    <r>
      <rPr>
        <sz val="10"/>
        <rFont val="Noto Sans CJK SC"/>
        <family val="2"/>
      </rPr>
      <t xml:space="preserve">控制</t>
    </r>
  </si>
  <si>
    <r>
      <rPr>
        <sz val="10"/>
        <rFont val="Noto Sans CJK SC"/>
        <family val="2"/>
      </rPr>
      <t xml:space="preserve">支持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轴（</t>
    </r>
    <r>
      <rPr>
        <sz val="10"/>
        <rFont val="Arial"/>
        <family val="0"/>
        <charset val="1"/>
      </rPr>
      <t xml:space="preserve">pan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0–360°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Y </t>
    </r>
    <r>
      <rPr>
        <sz val="10"/>
        <rFont val="Noto Sans CJK SC"/>
        <family val="2"/>
      </rPr>
      <t xml:space="preserve">轴（</t>
    </r>
    <r>
      <rPr>
        <sz val="10"/>
        <rFont val="Arial"/>
        <family val="0"/>
        <charset val="1"/>
      </rPr>
      <t xml:space="preserve">tilt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±90° </t>
    </r>
    <r>
      <rPr>
        <sz val="10"/>
        <rFont val="Noto Sans CJK SC"/>
        <family val="2"/>
      </rPr>
      <t xml:space="preserve">控制。 实测能力集：</t>
    </r>
    <r>
      <rPr>
        <sz val="10"/>
        <rFont val="Arial"/>
        <family val="0"/>
        <charset val="1"/>
      </rPr>
      <t xml:space="preserve">MaxPTRange pan 0–36000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tilt −9000 – +9000</t>
    </r>
    <r>
      <rPr>
        <sz val="10"/>
        <rFont val="Noto Sans CJK SC"/>
        <family val="2"/>
      </rPr>
      <t xml:space="preserve">， 单位 </t>
    </r>
    <r>
      <rPr>
        <sz val="10"/>
        <rFont val="Arial"/>
        <family val="0"/>
        <charset val="1"/>
      </rPr>
      <t xml:space="preserve">0.01°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MaxZoom 3300</t>
    </r>
    <r>
      <rPr>
        <sz val="10"/>
        <rFont val="Noto Sans CJK SC"/>
        <family val="2"/>
      </rPr>
      <t xml:space="preserve">；方向数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。支持 </t>
    </r>
    <r>
      <rPr>
        <sz val="10"/>
        <rFont val="Arial"/>
        <family val="0"/>
        <charset val="1"/>
      </rPr>
      <t xml:space="preserve">Preset / Zoom / Focus / Iris / Wiper / Guard(4 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模式 </t>
    </r>
    <r>
      <rPr>
        <sz val="10"/>
        <rFont val="Arial"/>
        <family val="0"/>
        <charset val="1"/>
      </rPr>
      <t xml:space="preserve">0–3) / PlanPatrol / Rectify</t>
    </r>
    <r>
      <rPr>
        <sz val="10"/>
        <rFont val="Noto Sans CJK SC"/>
        <family val="2"/>
      </rPr>
      <t xml:space="preserve">；不支持 </t>
    </r>
    <r>
      <rPr>
        <sz val="10"/>
        <rFont val="Arial"/>
        <family val="0"/>
        <charset val="1"/>
      </rPr>
      <t xml:space="preserve">RecordPatrol · AutoWiper</t>
    </r>
  </si>
  <si>
    <t xml:space="preserve">PAY-11b</t>
  </si>
  <si>
    <r>
      <rPr>
        <sz val="10"/>
        <rFont val="Noto Sans CJK SC"/>
        <family val="2"/>
      </rPr>
      <t xml:space="preserve">待实测（</t>
    </r>
    <r>
      <rPr>
        <sz val="10"/>
        <rFont val="Arial"/>
        <family val="0"/>
        <charset val="1"/>
      </rPr>
      <t xml:space="preserve">T-PTZ-3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</si>
  <si>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待实测（</t>
    </r>
    <r>
      <rPr>
        <sz val="10"/>
        <rFont val="Arial"/>
        <family val="0"/>
        <charset val="1"/>
      </rPr>
      <t xml:space="preserve">T-PTZ-3</t>
    </r>
    <r>
      <rPr>
        <sz val="10"/>
        <rFont val="Noto Sans CJK SC"/>
        <family val="2"/>
      </rPr>
      <t xml:space="preserve">）：能力集声明的 </t>
    </r>
    <r>
      <rPr>
        <sz val="10"/>
        <rFont val="Arial"/>
        <family val="0"/>
        <charset val="1"/>
      </rPr>
      <t xml:space="preserve">tilt ±90° </t>
    </r>
    <r>
      <rPr>
        <sz val="10"/>
        <rFont val="Noto Sans CJK SC"/>
        <family val="2"/>
      </rPr>
      <t xml:space="preserve">是协议上限，机械实际可达范围可能更小（</t>
    </r>
    <r>
      <rPr>
        <sz val="10"/>
        <rFont val="Arial"/>
        <family val="0"/>
        <charset val="1"/>
      </rPr>
      <t xml:space="preserve">11 V-24 </t>
    </r>
    <r>
      <rPr>
        <sz val="10"/>
        <rFont val="Noto Sans CJK SC"/>
        <family val="2"/>
      </rPr>
      <t xml:space="preserve">曾按典型 −</t>
    </r>
    <r>
      <rPr>
        <sz val="10"/>
        <rFont val="Arial"/>
        <family val="0"/>
        <charset val="1"/>
      </rPr>
      <t xml:space="preserve">90 ~ +30 </t>
    </r>
    <r>
      <rPr>
        <sz val="10"/>
        <rFont val="Noto Sans CJK SC"/>
        <family val="2"/>
      </rPr>
      <t xml:space="preserve">假设）。
 待实测期间的实现行为（失效方向安全）：</t>
    </r>
    <r>
      <rPr>
        <sz val="10"/>
        <rFont val="Arial"/>
        <family val="0"/>
        <charset val="1"/>
      </rPr>
      <t xml:space="preserve">tilt </t>
    </r>
    <r>
      <rPr>
        <sz val="10"/>
        <rFont val="Noto Sans CJK SC"/>
        <family val="2"/>
      </rPr>
      <t xml:space="preserve">软限位取保守值 −</t>
    </r>
    <r>
      <rPr>
        <sz val="10"/>
        <rFont val="Arial"/>
        <family val="0"/>
        <charset val="1"/>
      </rPr>
      <t xml:space="preserve">90° ~ +30° </t>
    </r>
    <r>
      <rPr>
        <sz val="10"/>
        <rFont val="Noto Sans CJK SC"/>
        <family val="2"/>
      </rPr>
      <t xml:space="preserve">并做成配置项 </t>
    </r>
    <r>
      <rPr>
        <sz val="10"/>
        <rFont val="Arial"/>
        <family val="0"/>
        <charset val="1"/>
      </rPr>
      <t xml:space="preserve">ptz.tilt_limit_deg</t>
    </r>
    <r>
      <rPr>
        <sz val="10"/>
        <rFont val="Noto Sans CJK SC"/>
        <family val="2"/>
      </rPr>
      <t xml:space="preserve">（进 </t>
    </r>
    <r>
      <rPr>
        <sz val="10"/>
        <rFont val="Arial"/>
        <family val="0"/>
        <charset val="1"/>
      </rPr>
      <t xml:space="preserve">CFG-11 </t>
    </r>
    <r>
      <rPr>
        <sz val="10"/>
        <rFont val="Noto Sans CJK SC"/>
        <family val="2"/>
      </rPr>
      <t xml:space="preserve">安全参数范围断言）； 实测放宽只许外扩，不得在实测前按 </t>
    </r>
    <r>
      <rPr>
        <sz val="10"/>
        <rFont val="Arial"/>
        <family val="0"/>
        <charset val="1"/>
      </rPr>
      <t xml:space="preserve">±90 </t>
    </r>
    <r>
      <rPr>
        <sz val="10"/>
        <rFont val="Noto Sans CJK SC"/>
        <family val="2"/>
      </rPr>
      <t xml:space="preserve">放行</t>
    </r>
  </si>
  <si>
    <t xml:space="preserve">PAY-12</t>
  </si>
  <si>
    <r>
      <rPr>
        <sz val="10"/>
        <rFont val="Noto Sans CJK SC"/>
        <family val="2"/>
      </rPr>
      <t xml:space="preserve">云端通过 </t>
    </r>
    <r>
      <rPr>
        <sz val="10"/>
        <rFont val="Arial"/>
        <family val="0"/>
        <charset val="1"/>
      </rPr>
      <t xml:space="preserve">Zenoh </t>
    </r>
    <r>
      <rPr>
        <sz val="10"/>
        <rFont val="Noto Sans CJK SC"/>
        <family val="2"/>
      </rPr>
      <t xml:space="preserve">下发控制指令控制相机</t>
    </r>
  </si>
  <si>
    <t xml:space="preserve">PAY-13</t>
  </si>
  <si>
    <r>
      <rPr>
        <sz val="10"/>
        <rFont val="Noto Sans CJK SC"/>
        <family val="2"/>
      </rPr>
      <t xml:space="preserve">协议已实测确认（关闭 </t>
    </r>
    <r>
      <rPr>
        <sz val="10"/>
        <rFont val="Arial"/>
        <family val="0"/>
        <charset val="1"/>
      </rPr>
      <t xml:space="preserve">§22 #6 </t>
    </r>
    <r>
      <rPr>
        <sz val="10"/>
        <rFont val="Noto Sans CJK SC"/>
        <family val="2"/>
      </rPr>
      <t xml:space="preserve">的协议部分）</t>
    </r>
  </si>
  <si>
    <r>
      <rPr>
        <sz val="10"/>
        <rFont val="Noto Sans CJK SC"/>
        <family val="2"/>
      </rPr>
      <t xml:space="preserve">协议已实测确认（关闭 </t>
    </r>
    <r>
      <rPr>
        <sz val="10"/>
        <rFont val="Arial"/>
        <family val="0"/>
        <charset val="1"/>
      </rPr>
      <t xml:space="preserve">§22 #6 </t>
    </r>
    <r>
      <rPr>
        <sz val="10"/>
        <rFont val="Noto Sans CJK SC"/>
        <family val="2"/>
      </rPr>
      <t xml:space="preserve">的协议部分）：</t>
    </r>
    <r>
      <rPr>
        <sz val="10"/>
        <rFont val="Arial"/>
        <family val="0"/>
        <charset val="1"/>
      </rPr>
      <t xml:space="preserve">LAPI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HTTP/JSON</t>
    </r>
    <r>
      <rPr>
        <sz val="10"/>
        <rFont val="Noto Sans CJK SC"/>
        <family val="2"/>
      </rPr>
      <t xml:space="preserve">，设备原生）＋ </t>
    </r>
    <r>
      <rPr>
        <sz val="10"/>
        <rFont val="Arial"/>
        <family val="0"/>
        <charset val="1"/>
      </rPr>
      <t xml:space="preserve">ONVIF </t>
    </r>
    <r>
      <rPr>
        <sz val="10"/>
        <rFont val="Noto Sans CJK SC"/>
        <family val="2"/>
      </rPr>
      <t xml:space="preserve">双栈，各管一半，见 </t>
    </r>
    <r>
      <rPr>
        <sz val="10"/>
        <rFont val="Arial"/>
        <family val="0"/>
        <charset val="1"/>
      </rPr>
      <t xml:space="preserve">PAY-31 / PAY-34</t>
    </r>
    <r>
      <rPr>
        <sz val="10"/>
        <rFont val="Noto Sans CJK SC"/>
        <family val="2"/>
      </rPr>
      <t xml:space="preserve">。
 仍待确认（</t>
    </r>
    <r>
      <rPr>
        <sz val="10"/>
        <rFont val="Arial"/>
        <family val="0"/>
        <charset val="1"/>
      </rPr>
      <t xml:space="preserve">§22 #6b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P1</t>
    </r>
    <r>
      <rPr>
        <sz val="10"/>
        <rFont val="Noto Sans CJK SC"/>
        <family val="2"/>
      </rPr>
      <t xml:space="preserve">）：是否支持主子双码流（决定 </t>
    </r>
    <r>
      <rPr>
        <sz val="10"/>
        <rFont val="Arial"/>
        <family val="0"/>
        <charset val="1"/>
      </rPr>
      <t xml:space="preserve">COM-55</t>
    </r>
    <r>
      <rPr>
        <sz val="10"/>
        <rFont val="Noto Sans CJK SC"/>
        <family val="2"/>
      </rPr>
      <t xml:space="preserve">「日常子码流、细看切主码流」能否落地）。
 待确认期间的实现行为：只按单一主码流实现（</t>
    </r>
    <r>
      <rPr>
        <sz val="10"/>
        <rFont val="Arial"/>
        <family val="0"/>
        <charset val="1"/>
      </rPr>
      <t xml:space="preserve">2560×1440@25fps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6.0 Mbps</t>
    </r>
    <r>
      <rPr>
        <sz val="10"/>
        <rFont val="Noto Sans CJK SC"/>
        <family val="2"/>
      </rPr>
      <t xml:space="preserve">）， </t>
    </r>
    <r>
      <rPr>
        <sz val="10"/>
        <rFont val="Arial"/>
        <family val="0"/>
        <charset val="1"/>
      </rPr>
      <t xml:space="preserve">COM-55 </t>
    </r>
    <r>
      <rPr>
        <sz val="10"/>
        <rFont val="Noto Sans CJK SC"/>
        <family val="2"/>
      </rPr>
      <t xml:space="preserve">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切码流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分支不实现、也不在带宽账里给它留余量； 若后续确认支持，须先重做带宽账再接入 —— 失效方向：少做一路码流不会超带宽，多做会。
 </t>
    </r>
    <r>
      <rPr>
        <sz val="10"/>
        <rFont val="Arial"/>
        <family val="0"/>
        <charset val="1"/>
      </rPr>
      <t xml:space="preserve">2026-08-05 </t>
    </r>
    <r>
      <rPr>
        <sz val="10"/>
        <rFont val="Noto Sans CJK SC"/>
        <family val="2"/>
      </rPr>
      <t xml:space="preserve">码率控制已取消，本处待人工判定：末句原写「再按 </t>
    </r>
    <r>
      <rPr>
        <sz val="10"/>
        <rFont val="Arial"/>
        <family val="0"/>
        <charset val="1"/>
      </rPr>
      <t xml:space="preserve">COM-58 </t>
    </r>
    <r>
      <rPr>
        <sz val="10"/>
        <rFont val="Noto Sans CJK SC"/>
        <family val="2"/>
      </rPr>
      <t xml:space="preserve">的让路机制接入」，而 </t>
    </r>
    <r>
      <rPr>
        <sz val="10"/>
        <rFont val="Arial"/>
        <family val="0"/>
        <charset val="1"/>
      </rPr>
      <t xml:space="preserve">COM-58 </t>
    </r>
    <r>
      <rPr>
        <sz val="10"/>
        <rFont val="Noto Sans CJK SC"/>
        <family val="2"/>
      </rPr>
      <t xml:space="preserve">已随「取消云台码率控制」改为墓碑行（</t>
    </r>
    <r>
      <rPr>
        <sz val="10"/>
        <rFont val="Arial"/>
        <family val="0"/>
        <charset val="1"/>
      </rPr>
      <t xml:space="preserve">11 §15.6E</t>
    </r>
    <r>
      <rPr>
        <sz val="10"/>
        <rFont val="Noto Sans CJK SC"/>
        <family val="2"/>
      </rPr>
      <t xml:space="preserve">）。 本处引用的是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让路机制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本身，与云台码率无关 —— 它不该随 </t>
    </r>
    <r>
      <rPr>
        <sz val="10"/>
        <rFont val="Arial"/>
        <family val="0"/>
        <charset val="1"/>
      </rPr>
      <t xml:space="preserve">boost </t>
    </r>
    <r>
      <rPr>
        <sz val="10"/>
        <rFont val="Noto Sans CJK SC"/>
        <family val="2"/>
      </rPr>
      <t xml:space="preserve">一起消失； 幸存的让路机制在 </t>
    </r>
    <r>
      <rPr>
        <sz val="10"/>
        <rFont val="Arial"/>
        <family val="0"/>
        <charset val="1"/>
      </rPr>
      <t xml:space="preserve">17 §7.3 </t>
    </r>
    <r>
      <rPr>
        <sz val="10"/>
        <rFont val="Noto Sans CJK SC"/>
        <family val="2"/>
      </rPr>
      <t xml:space="preserve">上行带宽仲裁（</t>
    </r>
    <r>
      <rPr>
        <sz val="10"/>
        <rFont val="Arial"/>
        <family val="0"/>
        <charset val="1"/>
      </rPr>
      <t xml:space="preserve">11 §15.6E.3 </t>
    </r>
    <r>
      <rPr>
        <sz val="10"/>
        <rFont val="Noto Sans CJK SC"/>
        <family val="2"/>
      </rPr>
      <t xml:space="preserve">已裁「该节不只服务于 </t>
    </r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码率， 不得整节删」），但该节的逐条存废尚在判定中 ⇒ 本处暂不改指，须待 </t>
    </r>
    <r>
      <rPr>
        <sz val="10"/>
        <rFont val="Arial"/>
        <family val="0"/>
        <charset val="1"/>
      </rPr>
      <t xml:space="preserve">17 §7.3 </t>
    </r>
    <r>
      <rPr>
        <sz val="10"/>
        <rFont val="Noto Sans CJK SC"/>
        <family val="2"/>
      </rPr>
      <t xml:space="preserve">收口后由人拍板改写</t>
    </r>
  </si>
  <si>
    <t xml:space="preserve">PAY-14</t>
  </si>
  <si>
    <r>
      <rPr>
        <sz val="10"/>
        <rFont val="Noto Sans CJK SC"/>
        <family val="2"/>
      </rPr>
      <t xml:space="preserve">红外相机（</t>
    </r>
    <r>
      <rPr>
        <sz val="10"/>
        <rFont val="Arial"/>
        <family val="0"/>
        <charset val="1"/>
      </rPr>
      <t xml:space="preserve">192.168.66.108</t>
    </r>
    <r>
      <rPr>
        <sz val="10"/>
        <rFont val="Noto Sans CJK SC"/>
        <family val="2"/>
      </rPr>
      <t xml:space="preserve">）的接口与能力集是否与可见光相同 待实测（</t>
    </r>
    <r>
      <rPr>
        <sz val="10"/>
        <rFont val="Arial"/>
        <family val="0"/>
        <charset val="1"/>
      </rPr>
      <t xml:space="preserve">T-PTZ-2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</si>
  <si>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红外相机（</t>
    </r>
    <r>
      <rPr>
        <sz val="10"/>
        <rFont val="Arial"/>
        <family val="0"/>
        <charset val="1"/>
      </rPr>
      <t xml:space="preserve">192.168.66.108</t>
    </r>
    <r>
      <rPr>
        <sz val="10"/>
        <rFont val="Noto Sans CJK SC"/>
        <family val="2"/>
      </rPr>
      <t xml:space="preserve">）的接口与能力集是否与可见光相同 待实测（</t>
    </r>
    <r>
      <rPr>
        <sz val="10"/>
        <rFont val="Arial"/>
        <family val="0"/>
        <charset val="1"/>
      </rPr>
      <t xml:space="preserve">T-PTZ-2</t>
    </r>
    <r>
      <rPr>
        <sz val="10"/>
        <rFont val="Noto Sans CJK SC"/>
        <family val="2"/>
      </rPr>
      <t xml:space="preserve">）。
 待实测期间的实现行为：所有 </t>
    </r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设计只对可见光相机做承诺；红外按「同云台面、共享运动，独立视频与图像参数」建模， 不对红外做任何参数写入（</t>
    </r>
    <r>
      <rPr>
        <sz val="10"/>
        <rFont val="Arial"/>
        <family val="0"/>
        <charset val="1"/>
      </rPr>
      <t xml:space="preserve">BIT-35</t>
    </r>
    <r>
      <rPr>
        <sz val="10"/>
        <rFont val="Noto Sans CJK SC"/>
        <family val="2"/>
      </rPr>
      <t xml:space="preserve">）</t>
    </r>
  </si>
  <si>
    <t xml:space="preserve">PAY-20</t>
  </si>
  <si>
    <r>
      <rPr>
        <sz val="10"/>
        <rFont val="Noto Sans CJK SC"/>
        <family val="2"/>
      </rPr>
      <t xml:space="preserve">视频流通过 </t>
    </r>
    <r>
      <rPr>
        <sz val="10"/>
        <rFont val="Arial"/>
        <family val="0"/>
        <charset val="1"/>
      </rPr>
      <t xml:space="preserve">NAT </t>
    </r>
    <r>
      <rPr>
        <sz val="10"/>
        <rFont val="Noto Sans CJK SC"/>
        <family val="2"/>
      </rPr>
      <t xml:space="preserve">形式桥接至通讯网口，云端通过 </t>
    </r>
    <r>
      <rPr>
        <sz val="10"/>
        <rFont val="Arial"/>
        <family val="0"/>
        <charset val="1"/>
      </rPr>
      <t xml:space="preserve">RTSP </t>
    </r>
    <r>
      <rPr>
        <sz val="10"/>
        <rFont val="Noto Sans CJK SC"/>
        <family val="2"/>
      </rPr>
      <t xml:space="preserve">拉流解码播放</t>
    </r>
  </si>
  <si>
    <t xml:space="preserve">PAY-20b</t>
  </si>
  <si>
    <r>
      <rPr>
        <sz val="10"/>
        <rFont val="Arial"/>
        <family val="0"/>
        <charset val="1"/>
      </rPr>
      <t xml:space="preserve">U51 </t>
    </r>
    <r>
      <rPr>
        <sz val="10"/>
        <rFont val="Noto Sans CJK SC"/>
        <family val="2"/>
      </rPr>
      <t xml:space="preserve">订正</t>
    </r>
  </si>
  <si>
    <r>
      <rPr>
        <sz val="10"/>
        <rFont val="Arial"/>
        <family val="0"/>
        <charset val="1"/>
      </rPr>
      <t xml:space="preserve">U51 </t>
    </r>
    <r>
      <rPr>
        <sz val="10"/>
        <rFont val="Noto Sans CJK SC"/>
        <family val="2"/>
      </rPr>
      <t xml:space="preserve">订正：</t>
    </r>
    <r>
      <rPr>
        <sz val="10"/>
        <rFont val="Arial"/>
        <family val="0"/>
        <charset val="1"/>
      </rPr>
      <t xml:space="preserve">NAT </t>
    </r>
    <r>
      <rPr>
        <sz val="10"/>
        <rFont val="Noto Sans CJK SC"/>
        <family val="2"/>
      </rPr>
      <t xml:space="preserve">桥接不止桥到上云口，还桥到 </t>
    </r>
    <r>
      <rPr>
        <sz val="10"/>
        <rFont val="Arial"/>
        <family val="0"/>
        <charset val="1"/>
      </rPr>
      <t xml:space="preserve">wifi </t>
    </r>
    <r>
      <rPr>
        <sz val="10"/>
        <rFont val="Noto Sans CJK SC"/>
        <family val="2"/>
      </rPr>
      <t xml:space="preserve">调试网段。 上装因此是路由</t>
    </r>
    <r>
      <rPr>
        <sz val="10"/>
        <rFont val="Arial"/>
        <family val="0"/>
        <charset val="1"/>
      </rPr>
      <t xml:space="preserve">/NAT </t>
    </r>
    <r>
      <rPr>
        <sz val="10"/>
        <rFont val="Noto Sans CJK SC"/>
        <family val="2"/>
      </rPr>
      <t xml:space="preserve">节点，需显式设计转发规则、网段隔离与防火墙策略 —— 这一角色 </t>
    </r>
    <r>
      <rPr>
        <sz val="10"/>
        <rFont val="Arial"/>
        <family val="0"/>
        <charset val="1"/>
      </rPr>
      <t xml:space="preserve">v0.4 </t>
    </r>
    <r>
      <rPr>
        <sz val="10"/>
        <rFont val="Noto Sans CJK SC"/>
        <family val="2"/>
      </rPr>
      <t xml:space="preserve">前的文档完全没有体现</t>
    </r>
  </si>
  <si>
    <t xml:space="preserve">PAY-21</t>
  </si>
  <si>
    <r>
      <rPr>
        <sz val="10"/>
        <rFont val="Arial"/>
        <family val="0"/>
        <charset val="1"/>
      </rPr>
      <t xml:space="preserve">NAT </t>
    </r>
    <r>
      <rPr>
        <sz val="10"/>
        <rFont val="Noto Sans CJK SC"/>
        <family val="2"/>
      </rPr>
      <t xml:space="preserve">直通意味着 </t>
    </r>
    <r>
      <rPr>
        <sz val="10"/>
        <rFont val="Arial"/>
        <family val="0"/>
        <charset val="1"/>
      </rPr>
      <t xml:space="preserve">Orin </t>
    </r>
    <r>
      <rPr>
        <sz val="10"/>
        <rFont val="Noto Sans CJK SC"/>
        <family val="2"/>
      </rPr>
      <t xml:space="preserve">不解码、不转码 </t>
    </r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画面，算力零占用</t>
    </r>
  </si>
  <si>
    <r>
      <rPr>
        <sz val="10"/>
        <rFont val="Arial"/>
        <family val="0"/>
        <charset val="1"/>
      </rPr>
      <t xml:space="preserve">NAT </t>
    </r>
    <r>
      <rPr>
        <sz val="10"/>
        <rFont val="Noto Sans CJK SC"/>
        <family val="2"/>
      </rPr>
      <t xml:space="preserve">直通意味着 </t>
    </r>
    <r>
      <rPr>
        <sz val="10"/>
        <rFont val="Arial"/>
        <family val="0"/>
        <charset val="1"/>
      </rPr>
      <t xml:space="preserve">Orin </t>
    </r>
    <r>
      <rPr>
        <sz val="10"/>
        <rFont val="Noto Sans CJK SC"/>
        <family val="2"/>
      </rPr>
      <t xml:space="preserve">不解码、不转码 </t>
    </r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画面，算力零占用。此设计必须保持。 </t>
    </r>
    <r>
      <rPr>
        <sz val="10"/>
        <rFont val="Arial"/>
        <family val="0"/>
        <charset val="1"/>
      </rPr>
      <t xml:space="preserve">BIT-34 </t>
    </r>
    <r>
      <rPr>
        <sz val="10"/>
        <rFont val="Noto Sans CJK SC"/>
        <family val="2"/>
      </rPr>
      <t xml:space="preserve">的码率</t>
    </r>
    <r>
      <rPr>
        <sz val="10"/>
        <rFont val="Arial"/>
        <family val="0"/>
        <charset val="1"/>
      </rPr>
      <t xml:space="preserve">/I </t>
    </r>
    <r>
      <rPr>
        <sz val="10"/>
        <rFont val="Noto Sans CJK SC"/>
        <family val="2"/>
      </rPr>
      <t xml:space="preserve">间隔基线写入是控制面写寄存器，不引入转码，不破坏本条。
 </t>
    </r>
    <r>
      <rPr>
        <sz val="10"/>
        <rFont val="Arial"/>
        <family val="0"/>
        <charset val="1"/>
      </rPr>
      <t xml:space="preserve">2026-08-05 </t>
    </r>
    <r>
      <rPr>
        <sz val="10"/>
        <rFont val="Noto Sans CJK SC"/>
        <family val="2"/>
      </rPr>
      <t xml:space="preserve">订正：末句原写「</t>
    </r>
    <r>
      <rPr>
        <sz val="10"/>
        <rFont val="Arial"/>
        <family val="0"/>
        <charset val="1"/>
      </rPr>
      <t xml:space="preserve">PAY-35 </t>
    </r>
    <r>
      <rPr>
        <sz val="10"/>
        <rFont val="Noto Sans CJK SC"/>
        <family val="2"/>
      </rPr>
      <t xml:space="preserve">的码率联动是控制面写寄存器」—— 云台码率控制已取消，运行期不再有码率联动，仅剩开机的基线写入，故改指 </t>
    </r>
    <r>
      <rPr>
        <sz val="10"/>
        <rFont val="Arial"/>
        <family val="0"/>
        <charset val="1"/>
      </rPr>
      <t xml:space="preserve">BIT-34</t>
    </r>
  </si>
  <si>
    <t xml:space="preserve">PAY-28</t>
  </si>
  <si>
    <r>
      <rPr>
        <sz val="10"/>
        <rFont val="Arial"/>
        <family val="0"/>
        <charset val="1"/>
      </rPr>
      <t xml:space="preserve">NAT </t>
    </r>
    <r>
      <rPr>
        <sz val="10"/>
        <rFont val="Noto Sans CJK SC"/>
        <family val="2"/>
      </rPr>
      <t xml:space="preserve">直通会将两个相机自身的 </t>
    </r>
    <r>
      <rPr>
        <sz val="10"/>
        <rFont val="Arial"/>
        <family val="0"/>
        <charset val="1"/>
      </rPr>
      <t xml:space="preserve">RTSP/Web </t>
    </r>
    <r>
      <rPr>
        <sz val="10"/>
        <rFont val="Noto Sans CJK SC"/>
        <family val="2"/>
      </rPr>
      <t xml:space="preserve">服务暴露给云端与 </t>
    </r>
    <r>
      <rPr>
        <sz val="10"/>
        <rFont val="Arial"/>
        <family val="0"/>
        <charset val="1"/>
      </rPr>
      <t xml:space="preserve">wifi </t>
    </r>
    <r>
      <rPr>
        <sz val="10"/>
        <rFont val="Noto Sans CJK SC"/>
        <family val="2"/>
      </rPr>
      <t xml:space="preserve">调试网段</t>
    </r>
  </si>
  <si>
    <r>
      <rPr>
        <sz val="10"/>
        <rFont val="Noto Sans CJK SC"/>
        <family val="2"/>
      </rPr>
      <t xml:space="preserve">正式需求（原【建议】，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升级为必做项）：</t>
    </r>
    <r>
      <rPr>
        <sz val="10"/>
        <rFont val="Arial"/>
        <family val="0"/>
        <charset val="1"/>
      </rPr>
      <t xml:space="preserve">NAT </t>
    </r>
    <r>
      <rPr>
        <sz val="10"/>
        <rFont val="Noto Sans CJK SC"/>
        <family val="2"/>
      </rPr>
      <t xml:space="preserve">直通会将两个相机自身的 </t>
    </r>
    <r>
      <rPr>
        <sz val="10"/>
        <rFont val="Arial"/>
        <family val="0"/>
        <charset val="1"/>
      </rPr>
      <t xml:space="preserve">RTSP/Web </t>
    </r>
    <r>
      <rPr>
        <sz val="10"/>
        <rFont val="Noto Sans CJK SC"/>
        <family val="2"/>
      </rPr>
      <t xml:space="preserve">服务暴露给云端与 </t>
    </r>
    <r>
      <rPr>
        <sz val="10"/>
        <rFont val="Arial"/>
        <family val="0"/>
        <charset val="1"/>
      </rPr>
      <t xml:space="preserve">wifi </t>
    </r>
    <r>
      <rPr>
        <sz val="10"/>
        <rFont val="Noto Sans CJK SC"/>
        <family val="2"/>
      </rPr>
      <t xml:space="preserve">调试网段。必须：① 限定源 </t>
    </r>
    <r>
      <rPr>
        <sz val="10"/>
        <rFont val="Arial"/>
        <family val="0"/>
        <charset val="1"/>
      </rPr>
      <t xml:space="preserve">IP ② </t>
    </r>
    <r>
      <rPr>
        <sz val="10"/>
        <rFont val="Noto Sans CJK SC"/>
        <family val="2"/>
      </rPr>
      <t xml:space="preserve">更改出厂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当前默认口令（当前仍为出厂式弱口令，见 </t>
    </r>
    <r>
      <rPr>
        <sz val="10"/>
        <rFont val="Arial"/>
        <family val="0"/>
        <charset val="1"/>
      </rPr>
      <t xml:space="preserve">99 C28.0</t>
    </r>
    <r>
      <rPr>
        <sz val="10"/>
        <rFont val="Noto Sans CJK SC"/>
        <family val="2"/>
      </rPr>
      <t xml:space="preserve">）③ 关闭不必要的相机内建服务。 理由：</t>
    </r>
    <r>
      <rPr>
        <sz val="10"/>
        <rFont val="Arial"/>
        <family val="0"/>
        <charset val="1"/>
      </rPr>
      <t xml:space="preserve">NAT </t>
    </r>
    <r>
      <rPr>
        <sz val="10"/>
        <rFont val="Noto Sans CJK SC"/>
        <family val="2"/>
      </rPr>
      <t xml:space="preserve">之后相机的攻击面等于上装的攻击面</t>
    </r>
  </si>
  <si>
    <t xml:space="preserve">PAY-22</t>
  </si>
  <si>
    <r>
      <rPr>
        <sz val="10"/>
        <rFont val="Noto Sans CJK SC"/>
        <family val="2"/>
      </rPr>
      <t xml:space="preserve">自动跟踪 ＝ 开环随动（</t>
    </r>
    <r>
      <rPr>
        <sz val="10"/>
        <rFont val="Arial"/>
        <family val="0"/>
        <charset val="1"/>
      </rPr>
      <t xml:space="preserve">open-loop follow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</si>
  <si>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v0.5 </t>
    </r>
    <r>
      <rPr>
        <sz val="10"/>
        <rFont val="Noto Sans CJK SC"/>
        <family val="2"/>
      </rPr>
      <t xml:space="preserve">重写】自动跟踪 ＝ 开环随动（</t>
    </r>
    <r>
      <rPr>
        <sz val="10"/>
        <rFont val="Arial"/>
        <family val="0"/>
        <charset val="1"/>
      </rPr>
      <t xml:space="preserve">open-loop follow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P2 </t>
    </r>
    <r>
      <rPr>
        <sz val="10"/>
        <rFont val="Noto Sans CJK SC"/>
        <family val="2"/>
      </rPr>
      <t xml:space="preserve">按机体 </t>
    </r>
    <r>
      <rPr>
        <sz val="10"/>
        <rFont val="Arial"/>
        <family val="0"/>
        <charset val="1"/>
      </rPr>
      <t xml:space="preserve">yaw </t>
    </r>
    <r>
      <rPr>
        <sz val="10"/>
        <rFont val="Noto Sans CJK SC"/>
        <family val="2"/>
      </rPr>
      <t xml:space="preserve">的变化量向云台发 </t>
    </r>
    <r>
      <rPr>
        <sz val="10"/>
        <rFont val="Arial"/>
        <family val="0"/>
        <charset val="1"/>
      </rPr>
      <t xml:space="preserve">ContinuousMove </t>
    </r>
    <r>
      <rPr>
        <sz val="10"/>
        <rFont val="Noto Sans CJK SC"/>
        <family val="2"/>
      </rPr>
      <t xml:space="preserve">脉冲，不读位置、不做校正。 三条硬约束：
① 不承诺 </t>
    </r>
    <r>
      <rPr>
        <sz val="10"/>
        <rFont val="Arial"/>
        <family val="0"/>
        <charset val="1"/>
      </rPr>
      <t xml:space="preserve">pan </t>
    </r>
    <r>
      <rPr>
        <sz val="10"/>
        <rFont val="Noto Sans CJK SC"/>
        <family val="2"/>
      </rPr>
      <t xml:space="preserve">与机体 </t>
    </r>
    <r>
      <rPr>
        <sz val="10"/>
        <rFont val="Arial"/>
        <family val="0"/>
        <charset val="1"/>
      </rPr>
      <t xml:space="preserve">yaw </t>
    </r>
    <r>
      <rPr>
        <sz val="10"/>
        <rFont val="Noto Sans CJK SC"/>
        <family val="2"/>
      </rPr>
      <t xml:space="preserve">一致，只承诺同向跟随；
② 必然累积漂移 → 需按 </t>
    </r>
    <r>
      <rPr>
        <sz val="10"/>
        <rFont val="Arial"/>
        <family val="0"/>
        <charset val="1"/>
      </rPr>
      <t xml:space="preserve">PAY-29 </t>
    </r>
    <r>
      <rPr>
        <sz val="10"/>
        <rFont val="Noto Sans CJK SC"/>
        <family val="2"/>
      </rPr>
      <t xml:space="preserve">定期回 </t>
    </r>
    <r>
      <rPr>
        <sz val="10"/>
        <rFont val="Arial"/>
        <family val="0"/>
        <charset val="1"/>
      </rPr>
      <t xml:space="preserve">Preset </t>
    </r>
    <r>
      <rPr>
        <sz val="10"/>
        <rFont val="Noto Sans CJK SC"/>
        <family val="2"/>
      </rPr>
      <t xml:space="preserve">归零；
③ 指令速率不得超过 </t>
    </r>
    <r>
      <rPr>
        <sz val="10"/>
        <rFont val="Arial"/>
        <family val="0"/>
        <charset val="1"/>
      </rPr>
      <t xml:space="preserve">17 Hz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PAY-31</t>
    </r>
    <r>
      <rPr>
        <sz val="10"/>
        <rFont val="Noto Sans CJK SC"/>
        <family val="2"/>
      </rPr>
      <t xml:space="preserve">）。
 主要的「框住目标」责任由机体 </t>
    </r>
    <r>
      <rPr>
        <sz val="10"/>
        <rFont val="Arial"/>
        <family val="0"/>
        <charset val="1"/>
      </rPr>
      <t xml:space="preserve">yaw</t>
    </r>
    <r>
      <rPr>
        <sz val="10"/>
        <rFont val="Noto Sans CJK SC"/>
        <family val="2"/>
      </rPr>
      <t xml:space="preserve">承担（</t>
    </r>
    <r>
      <rPr>
        <sz val="10"/>
        <rFont val="Arial"/>
        <family val="0"/>
        <charset val="1"/>
      </rPr>
      <t xml:space="preserve">NAV-51b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</si>
  <si>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❌ 开环随动未实现（</t>
    </r>
    <r>
      <rPr>
        <sz val="10"/>
        <rFont val="Arial"/>
        <family val="0"/>
        <charset val="1"/>
      </rPr>
      <t xml:space="preserve">set_track </t>
    </r>
    <r>
      <rPr>
        <sz val="10"/>
        <rFont val="Noto Sans CJK SC"/>
        <family val="2"/>
      </rPr>
      <t xml:space="preserve">回 </t>
    </r>
    <r>
      <rPr>
        <sz val="10"/>
        <rFont val="Arial"/>
        <family val="0"/>
        <charset val="1"/>
      </rPr>
      <t xml:space="preserve">E_NOT_IMPLEMENTED</t>
    </r>
    <r>
      <rPr>
        <sz val="10"/>
        <rFont val="Noto Sans CJK SC"/>
        <family val="2"/>
      </rPr>
      <t xml:space="preserve">）</t>
    </r>
  </si>
  <si>
    <t xml:space="preserve">PAY-23</t>
  </si>
  <si>
    <r>
      <rPr>
        <sz val="10"/>
        <rFont val="Noto Sans CJK SC"/>
        <family val="2"/>
      </rPr>
      <t xml:space="preserve">无需解码 </t>
    </r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画面、无需目标检测反馈、无需云台闭环跟踪控制器</t>
    </r>
  </si>
  <si>
    <r>
      <rPr>
        <sz val="10"/>
        <rFont val="Noto Sans CJK SC"/>
        <family val="2"/>
      </rPr>
      <t xml:space="preserve">无需解码 </t>
    </r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画面、无需目标检测反馈、无需云台闭环跟踪控制器。 订正措辞：这不再是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为了省算力而无需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，而是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因为无位置反馈而做不到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。 结论（省算力、跟踪由运动层 </t>
    </r>
    <r>
      <rPr>
        <sz val="10"/>
        <rFont val="Arial"/>
        <family val="0"/>
        <charset val="1"/>
      </rPr>
      <t xml:space="preserve">yaw </t>
    </r>
    <r>
      <rPr>
        <sz val="10"/>
        <rFont val="Noto Sans CJK SC"/>
        <family val="2"/>
      </rPr>
      <t xml:space="preserve">承担）不变，但理由必须写对 —— 否则将来有人以为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补个位置反馈就能升级成闭环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，而实际上设备不提供</t>
    </r>
  </si>
  <si>
    <t xml:space="preserve">PAY-24</t>
  </si>
  <si>
    <r>
      <rPr>
        <sz val="10"/>
        <rFont val="Noto Sans CJK SC"/>
        <family val="2"/>
      </rPr>
      <t xml:space="preserve">进入 </t>
    </r>
    <r>
      <rPr>
        <sz val="10"/>
        <rFont val="Arial"/>
        <family val="0"/>
        <charset val="1"/>
      </rPr>
      <t xml:space="preserve">D / B </t>
    </r>
    <r>
      <rPr>
        <sz val="10"/>
        <rFont val="Noto Sans CJK SC"/>
        <family val="2"/>
      </rPr>
      <t xml:space="preserve">模式时自动进入跟踪模式，退出时自动退出跟踪模式</t>
    </r>
  </si>
  <si>
    <r>
      <rPr>
        <sz val="10"/>
        <rFont val="Arial"/>
        <family val="0"/>
        <charset val="1"/>
      </rPr>
      <t xml:space="preserve">🟡 B/D </t>
    </r>
    <r>
      <rPr>
        <sz val="10"/>
        <rFont val="Noto Sans CJK SC"/>
        <family val="2"/>
      </rPr>
      <t xml:space="preserve">持 </t>
    </r>
    <r>
      <rPr>
        <sz val="10"/>
        <rFont val="Arial"/>
        <family val="0"/>
        <charset val="1"/>
      </rPr>
      <t xml:space="preserve">auto_track</t>
    </r>
    <r>
      <rPr>
        <sz val="10"/>
        <rFont val="Noto Sans CJK SC"/>
        <family val="2"/>
      </rPr>
      <t xml:space="preserve">（不驱动云台）</t>
    </r>
  </si>
  <si>
    <t xml:space="preserve">PAY-25</t>
  </si>
  <si>
    <r>
      <rPr>
        <sz val="10"/>
        <rFont val="Noto Sans CJK SC"/>
        <family val="2"/>
      </rPr>
      <t xml:space="preserve">支持云端手动控制，与自动跟踪构成竞争关系，须仲裁，见 </t>
    </r>
    <r>
      <rPr>
        <sz val="10"/>
        <rFont val="Arial"/>
        <family val="0"/>
        <charset val="1"/>
      </rPr>
      <t xml:space="preserve">CON-01 </t>
    </r>
    <r>
      <rPr>
        <sz val="10"/>
        <rFont val="Noto Sans CJK SC"/>
        <family val="2"/>
      </rPr>
      <t xml:space="preserve">域⑤</t>
    </r>
  </si>
  <si>
    <r>
      <rPr>
        <sz val="10"/>
        <rFont val="Noto Sans CJK SC"/>
        <family val="2"/>
      </rPr>
      <t xml:space="preserve">✅ 云端手动可抢 </t>
    </r>
    <r>
      <rPr>
        <sz val="10"/>
        <rFont val="Arial"/>
        <family val="0"/>
        <charset val="1"/>
      </rPr>
      <t xml:space="preserve">auto_track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10-28 </t>
    </r>
    <r>
      <rPr>
        <sz val="10"/>
        <rFont val="Noto Sans CJK SC"/>
        <family val="2"/>
      </rPr>
      <t xml:space="preserve">真机）</t>
    </r>
  </si>
  <si>
    <t xml:space="preserve">PAY-26</t>
  </si>
  <si>
    <r>
      <rPr>
        <sz val="10"/>
        <rFont val="Arial"/>
        <family val="0"/>
        <charset val="1"/>
      </rPr>
      <t xml:space="preserve">tilt </t>
    </r>
    <r>
      <rPr>
        <sz val="10"/>
        <rFont val="Noto Sans CJK SC"/>
        <family val="2"/>
      </rPr>
      <t xml:space="preserve">只能用「预置位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手动微调」，不能用几何解算下发绝对角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</si>
  <si>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v0.5 </t>
    </r>
    <r>
      <rPr>
        <sz val="10"/>
        <rFont val="Noto Sans CJK SC"/>
        <family val="2"/>
      </rPr>
      <t xml:space="preserve">重写】</t>
    </r>
    <r>
      <rPr>
        <sz val="10"/>
        <rFont val="Arial"/>
        <family val="0"/>
        <charset val="1"/>
      </rPr>
      <t xml:space="preserve">tilt </t>
    </r>
    <r>
      <rPr>
        <sz val="10"/>
        <rFont val="Noto Sans CJK SC"/>
        <family val="2"/>
      </rPr>
      <t xml:space="preserve">只能用「预置位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手动微调」，不能用几何解算下发绝对角。
 需求本身仍成立（</t>
    </r>
    <r>
      <rPr>
        <sz val="10"/>
        <rFont val="Arial"/>
        <family val="0"/>
        <charset val="1"/>
      </rPr>
      <t xml:space="preserve">M20S </t>
    </r>
    <r>
      <rPr>
        <sz val="10"/>
        <rFont val="Noto Sans CJK SC"/>
        <family val="2"/>
      </rPr>
      <t xml:space="preserve">机身约 </t>
    </r>
    <r>
      <rPr>
        <sz val="10"/>
        <rFont val="Arial"/>
        <family val="0"/>
        <charset val="1"/>
      </rPr>
      <t xml:space="preserve">0.5 m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3 m </t>
    </r>
    <r>
      <rPr>
        <sz val="10"/>
        <rFont val="Noto Sans CJK SC"/>
        <family val="2"/>
      </rPr>
      <t xml:space="preserve">处人脸约 </t>
    </r>
    <r>
      <rPr>
        <sz val="10"/>
        <rFont val="Arial"/>
        <family val="0"/>
        <charset val="1"/>
      </rPr>
      <t xml:space="preserve">1.6 m </t>
    </r>
    <r>
      <rPr>
        <sz val="10"/>
        <rFont val="Noto Sans CJK SC"/>
        <family val="2"/>
      </rPr>
      <t xml:space="preserve">高，需约 </t>
    </r>
    <r>
      <rPr>
        <sz val="10"/>
        <rFont val="Arial"/>
        <family val="0"/>
        <charset val="1"/>
      </rPr>
      <t xml:space="preserve">20° </t>
    </r>
    <r>
      <rPr>
        <sz val="10"/>
        <rFont val="Noto Sans CJK SC"/>
        <family val="2"/>
      </rPr>
      <t xml:space="preserve">上仰）， 但实现路径必须换：
① 事先在相机内标定若干 </t>
    </r>
    <r>
      <rPr>
        <sz val="10"/>
        <rFont val="Arial"/>
        <family val="0"/>
        <charset val="1"/>
      </rPr>
      <t xml:space="preserve">Preset</t>
    </r>
    <r>
      <rPr>
        <sz val="10"/>
        <rFont val="Noto Sans CJK SC"/>
        <family val="2"/>
      </rPr>
      <t xml:space="preserve">（如 近观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远望），把常用俯仰角固化在设备侧；
② 运行期只做 </t>
    </r>
    <r>
      <rPr>
        <sz val="10"/>
        <rFont val="Arial"/>
        <family val="0"/>
        <charset val="1"/>
      </rPr>
      <t xml:space="preserve">goto_preset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ONVIF </t>
    </r>
    <r>
      <rPr>
        <sz val="10"/>
        <rFont val="Noto Sans CJK SC"/>
        <family val="2"/>
      </rPr>
      <t xml:space="preserve">开环微调；
③ </t>
    </r>
    <r>
      <rPr>
        <sz val="10"/>
        <rFont val="Arial"/>
        <family val="0"/>
        <charset val="1"/>
      </rPr>
      <t xml:space="preserve">Preset </t>
    </r>
    <r>
      <rPr>
        <sz val="10"/>
        <rFont val="Noto Sans CJK SC"/>
        <family val="2"/>
      </rPr>
      <t xml:space="preserve">的编号、数量与各自俯仰角待定（</t>
    </r>
    <r>
      <rPr>
        <sz val="10"/>
        <rFont val="Arial"/>
        <family val="0"/>
        <charset val="1"/>
      </rPr>
      <t xml:space="preserve">§22 #18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T-PTZ-1 </t>
    </r>
    <r>
      <rPr>
        <sz val="10"/>
        <rFont val="Noto Sans CJK SC"/>
        <family val="2"/>
      </rPr>
      <t xml:space="preserve">关闭后由用户与现场共同确定）。
 待定期间的实现行为：只实现 </t>
    </r>
    <r>
      <rPr>
        <sz val="10"/>
        <rFont val="Arial"/>
        <family val="0"/>
        <charset val="1"/>
      </rPr>
      <t xml:space="preserve">goto_preset(preset_id) </t>
    </r>
    <r>
      <rPr>
        <sz val="10"/>
        <rFont val="Noto Sans CJK SC"/>
        <family val="2"/>
      </rPr>
      <t xml:space="preserve">与开环微调两个原语，</t>
    </r>
    <r>
      <rPr>
        <sz val="10"/>
        <rFont val="Arial"/>
        <family val="0"/>
        <charset val="1"/>
      </rPr>
      <t xml:space="preserve">preset_id </t>
    </r>
    <r>
      <rPr>
        <sz val="10"/>
        <rFont val="Noto Sans CJK SC"/>
        <family val="2"/>
      </rPr>
      <t xml:space="preserve">全部来自配置 </t>
    </r>
    <r>
      <rPr>
        <sz val="10"/>
        <rFont val="Arial"/>
        <family val="0"/>
        <charset val="1"/>
      </rPr>
      <t xml:space="preserve">ptz.presets</t>
    </r>
    <r>
      <rPr>
        <sz val="10"/>
        <rFont val="Noto Sans CJK SC"/>
        <family val="2"/>
      </rPr>
      <t xml:space="preserve">（缺省只有一项 </t>
    </r>
    <r>
      <rPr>
        <sz val="10"/>
        <rFont val="Arial"/>
        <family val="0"/>
        <charset val="1"/>
      </rPr>
      <t xml:space="preserve">travel_watch = 1</t>
    </r>
    <r>
      <rPr>
        <sz val="10"/>
        <rFont val="Noto Sans CJK SC"/>
        <family val="2"/>
      </rPr>
      <t xml:space="preserve">）； 不在代码里写死任何俯仰角</t>
    </r>
  </si>
  <si>
    <t xml:space="preserve">❌ 预置位未实现</t>
  </si>
  <si>
    <t xml:space="preserve">PAY-27</t>
  </si>
  <si>
    <r>
      <rPr>
        <sz val="10"/>
        <rFont val="Noto Sans CJK SC"/>
        <family val="2"/>
      </rPr>
      <t xml:space="preserve">退出 </t>
    </r>
    <r>
      <rPr>
        <sz val="10"/>
        <rFont val="Arial"/>
        <family val="0"/>
        <charset val="1"/>
      </rPr>
      <t xml:space="preserve">D/B </t>
    </r>
    <r>
      <rPr>
        <sz val="10"/>
        <rFont val="Noto Sans CJK SC"/>
        <family val="2"/>
      </rPr>
      <t xml:space="preserve">后的归位 ＝ </t>
    </r>
    <r>
      <rPr>
        <sz val="10"/>
        <rFont val="Arial"/>
        <family val="0"/>
        <charset val="1"/>
      </rPr>
      <t xml:space="preserve">goto_preset(</t>
    </r>
    <r>
      <rPr>
        <sz val="10"/>
        <rFont val="Noto Sans CJK SC"/>
        <family val="2"/>
      </rPr>
      <t xml:space="preserve">行进观察位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，不是回绝对角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</si>
  <si>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v0.5 </t>
    </r>
    <r>
      <rPr>
        <sz val="10"/>
        <rFont val="Noto Sans CJK SC"/>
        <family val="2"/>
      </rPr>
      <t xml:space="preserve">重写】退出 </t>
    </r>
    <r>
      <rPr>
        <sz val="10"/>
        <rFont val="Arial"/>
        <family val="0"/>
        <charset val="1"/>
      </rPr>
      <t xml:space="preserve">D/B </t>
    </r>
    <r>
      <rPr>
        <sz val="10"/>
        <rFont val="Noto Sans CJK SC"/>
        <family val="2"/>
      </rPr>
      <t xml:space="preserve">后的归位 ＝ </t>
    </r>
    <r>
      <rPr>
        <sz val="10"/>
        <rFont val="Arial"/>
        <family val="0"/>
        <charset val="1"/>
      </rPr>
      <t xml:space="preserve">goto_preset(</t>
    </r>
    <r>
      <rPr>
        <sz val="10"/>
        <rFont val="Noto Sans CJK SC"/>
        <family val="2"/>
      </rPr>
      <t xml:space="preserve">行进观察位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，不是回绝对角。
 同时执行 </t>
    </r>
    <r>
      <rPr>
        <sz val="10"/>
        <rFont val="Arial"/>
        <family val="0"/>
        <charset val="1"/>
      </rPr>
      <t xml:space="preserve">PAY-36 </t>
    </r>
    <r>
      <rPr>
        <sz val="10"/>
        <rFont val="Noto Sans CJK SC"/>
        <family val="2"/>
      </rPr>
      <t xml:space="preserve">的对焦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屏蔽状态恢复（ 归位与对焦恢复两者必须一起做，否则退出后画面停在手动对焦上）。
 </t>
    </r>
    <r>
      <rPr>
        <sz val="10"/>
        <rFont val="Arial"/>
        <family val="0"/>
        <charset val="1"/>
      </rPr>
      <t xml:space="preserve">2026-08-05 </t>
    </r>
    <r>
      <rPr>
        <sz val="10"/>
        <rFont val="Noto Sans CJK SC"/>
        <family val="2"/>
      </rPr>
      <t xml:space="preserve">订正：本句原写「同时执行 </t>
    </r>
    <r>
      <rPr>
        <sz val="10"/>
        <rFont val="Arial"/>
        <family val="0"/>
        <charset val="1"/>
      </rPr>
      <t xml:space="preserve">PAY-35 </t>
    </r>
    <r>
      <rPr>
        <sz val="10"/>
        <rFont val="Noto Sans CJK SC"/>
        <family val="2"/>
      </rPr>
      <t xml:space="preserve">的码率恢复与 </t>
    </r>
    <r>
      <rPr>
        <sz val="10"/>
        <rFont val="Arial"/>
        <family val="0"/>
        <charset val="1"/>
      </rPr>
      <t xml:space="preserve">PAY-36 </t>
    </r>
    <r>
      <rPr>
        <sz val="10"/>
        <rFont val="Noto Sans CJK SC"/>
        <family val="2"/>
      </rPr>
      <t xml:space="preserve">的对焦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屏蔽状态恢复（ 三者必须一起做，否则退出后画面停在高码率或手动对焦上）」—— 云台码率控制已取消，无码率可恢复 ⇒ 删该分句，「三者」改「两者」； </t>
    </r>
    <r>
      <rPr>
        <sz val="10"/>
        <rFont val="Arial"/>
        <family val="0"/>
        <charset val="1"/>
      </rPr>
      <t xml:space="preserve">PAY-36 </t>
    </r>
    <r>
      <rPr>
        <sz val="10"/>
        <rFont val="Noto Sans CJK SC"/>
        <family val="2"/>
      </rPr>
      <t xml:space="preserve">的对焦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屏蔽恢复必须保留（</t>
    </r>
    <r>
      <rPr>
        <sz val="10"/>
        <rFont val="Arial"/>
        <family val="0"/>
        <charset val="1"/>
      </rPr>
      <t xml:space="preserve">C28.4 </t>
    </r>
    <r>
      <rPr>
        <sz val="10"/>
        <rFont val="Noto Sans CJK SC"/>
        <family val="2"/>
      </rPr>
      <t xml:space="preserve">两个对焦坑）。
 前置条件（</t>
    </r>
    <r>
      <rPr>
        <sz val="10"/>
        <rFont val="Arial"/>
        <family val="0"/>
        <charset val="1"/>
      </rPr>
      <t xml:space="preserve">T-PTZ-1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Preset </t>
    </r>
    <r>
      <rPr>
        <sz val="10"/>
        <rFont val="Noto Sans CJK SC"/>
        <family val="2"/>
      </rPr>
      <t xml:space="preserve">是否也受「绝对定位空操作」影响。
 </t>
    </r>
    <r>
      <rPr>
        <sz val="10"/>
        <rFont val="Arial"/>
        <family val="0"/>
        <charset val="1"/>
      </rPr>
      <t xml:space="preserve">T-PTZ-1 </t>
    </r>
    <r>
      <rPr>
        <sz val="10"/>
        <rFont val="Noto Sans CJK SC"/>
        <family val="2"/>
      </rPr>
      <t xml:space="preserve">关闭前的实现行为（失效方向安全）：</t>
    </r>
    <r>
      <rPr>
        <sz val="10"/>
        <rFont val="Arial"/>
        <family val="0"/>
        <charset val="1"/>
      </rPr>
      <t xml:space="preserve">ptz_home / </t>
    </r>
    <r>
      <rPr>
        <sz val="10"/>
        <rFont val="Noto Sans CJK SC"/>
        <family val="2"/>
      </rPr>
      <t xml:space="preserve">归位一律按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尽力而为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实现 —— 下发 </t>
    </r>
    <r>
      <rPr>
        <sz val="10"/>
        <rFont val="Arial"/>
        <family val="0"/>
        <charset val="1"/>
      </rPr>
      <t xml:space="preserve">goto_preset </t>
    </r>
    <r>
      <rPr>
        <sz val="10"/>
        <rFont val="Noto Sans CJK SC"/>
        <family val="2"/>
      </rPr>
      <t xml:space="preserve">后只回执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已下发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，不回执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已就位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PAY-39</t>
    </r>
    <r>
      <rPr>
        <sz val="10"/>
        <rFont val="Noto Sans CJK SC"/>
        <family val="2"/>
      </rPr>
      <t xml:space="preserve">）， 不得把归位成功作为任何其他功能的前置保证； 若 </t>
    </r>
    <r>
      <rPr>
        <sz val="10"/>
        <rFont val="Arial"/>
        <family val="0"/>
        <charset val="1"/>
      </rPr>
      <t xml:space="preserve">T-PTZ-1 </t>
    </r>
    <r>
      <rPr>
        <sz val="10"/>
        <rFont val="Noto Sans CJK SC"/>
        <family val="2"/>
      </rPr>
      <t xml:space="preserve">判定 </t>
    </r>
    <r>
      <rPr>
        <sz val="10"/>
        <rFont val="Arial"/>
        <family val="0"/>
        <charset val="1"/>
      </rPr>
      <t xml:space="preserve">Preset </t>
    </r>
    <r>
      <rPr>
        <sz val="10"/>
        <rFont val="Noto Sans CJK SC"/>
        <family val="2"/>
      </rPr>
      <t xml:space="preserve">也无效，则改为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不归位、只停止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并向操作员明示</t>
    </r>
  </si>
  <si>
    <r>
      <rPr>
        <sz val="10"/>
        <rFont val="Noto Sans CJK SC"/>
        <family val="2"/>
      </rPr>
      <t xml:space="preserve">❌ 退出 </t>
    </r>
    <r>
      <rPr>
        <sz val="10"/>
        <rFont val="Arial"/>
        <family val="0"/>
        <charset val="1"/>
      </rPr>
      <t xml:space="preserve">B/D </t>
    </r>
    <r>
      <rPr>
        <sz val="10"/>
        <rFont val="Noto Sans CJK SC"/>
        <family val="2"/>
      </rPr>
      <t xml:space="preserve">回预置位未实现（</t>
    </r>
    <r>
      <rPr>
        <sz val="10"/>
        <rFont val="Arial"/>
        <family val="0"/>
        <charset val="1"/>
      </rPr>
      <t xml:space="preserve">goto_preset </t>
    </r>
    <r>
      <rPr>
        <sz val="10"/>
        <rFont val="Noto Sans CJK SC"/>
        <family val="2"/>
      </rPr>
      <t xml:space="preserve">未实现，</t>
    </r>
    <r>
      <rPr>
        <sz val="10"/>
        <rFont val="Arial"/>
        <family val="0"/>
        <charset val="1"/>
      </rPr>
      <t xml:space="preserve">T-PTZ-1</t>
    </r>
    <r>
      <rPr>
        <sz val="10"/>
        <rFont val="Noto Sans CJK SC"/>
        <family val="2"/>
      </rPr>
      <t xml:space="preserve">）</t>
    </r>
  </si>
  <si>
    <t xml:space="preserve">PAY-29</t>
  </si>
  <si>
    <t xml:space="preserve">漂移管理</t>
  </si>
  <si>
    <r>
      <rPr>
        <sz val="10"/>
        <rFont val="Noto Sans CJK SC"/>
        <family val="2"/>
      </rPr>
      <t xml:space="preserve">漂移管理：开环随动会累积漂移（</t>
    </r>
    <r>
      <rPr>
        <sz val="10"/>
        <rFont val="Arial"/>
        <family val="0"/>
        <charset val="1"/>
      </rPr>
      <t xml:space="preserve">PAY-22②</t>
    </r>
    <r>
      <rPr>
        <sz val="10"/>
        <rFont val="Noto Sans CJK SC"/>
        <family val="2"/>
      </rPr>
      <t xml:space="preserve">）。需定义归零触发条件：① 退出 </t>
    </r>
    <r>
      <rPr>
        <sz val="10"/>
        <rFont val="Arial"/>
        <family val="0"/>
        <charset val="1"/>
      </rPr>
      <t xml:space="preserve">D/B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PAY-27</t>
    </r>
    <r>
      <rPr>
        <sz val="10"/>
        <rFont val="Noto Sans CJK SC"/>
        <family val="2"/>
      </rPr>
      <t xml:space="preserve">）② 连续随动超过 </t>
    </r>
    <r>
      <rPr>
        <sz val="10"/>
        <rFont val="Arial"/>
        <family val="0"/>
        <charset val="1"/>
      </rPr>
      <t xml:space="preserve">T_drift ③ </t>
    </r>
    <r>
      <rPr>
        <sz val="10"/>
        <rFont val="Noto Sans CJK SC"/>
        <family val="2"/>
      </rPr>
      <t xml:space="preserve">操作员手动。
 </t>
    </r>
    <r>
      <rPr>
        <sz val="10"/>
        <rFont val="Arial"/>
        <family val="0"/>
        <charset val="1"/>
      </rPr>
      <t xml:space="preserve">T_drift </t>
    </r>
    <r>
      <rPr>
        <sz val="10"/>
        <rFont val="Noto Sans CJK SC"/>
        <family val="2"/>
      </rPr>
      <t xml:space="preserve">与实际漂移率待实测（</t>
    </r>
    <r>
      <rPr>
        <sz val="10"/>
        <rFont val="Arial"/>
        <family val="0"/>
        <charset val="1"/>
      </rPr>
      <t xml:space="preserve">T-PTZ-5</t>
    </r>
    <r>
      <rPr>
        <sz val="10"/>
        <rFont val="Noto Sans CJK SC"/>
        <family val="2"/>
      </rPr>
      <t xml:space="preserve">） —— 因无位置回读，漂移只能用外部量测（视觉标尺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人工判读）标定，不能自测。
 待实测期间的实现行为（失效方向安全）：</t>
    </r>
    <r>
      <rPr>
        <sz val="10"/>
        <rFont val="Arial"/>
        <family val="0"/>
        <charset val="1"/>
      </rPr>
      <t xml:space="preserve">ptz.t_drift_s </t>
    </r>
    <r>
      <rPr>
        <sz val="10"/>
        <rFont val="Noto Sans CJK SC"/>
        <family val="2"/>
      </rPr>
      <t xml:space="preserve">缺省 </t>
    </r>
    <r>
      <rPr>
        <sz val="10"/>
        <rFont val="Arial"/>
        <family val="0"/>
        <charset val="1"/>
      </rPr>
      <t xml:space="preserve">60 s</t>
    </r>
    <r>
      <rPr>
        <sz val="10"/>
        <rFont val="Noto Sans CJK SC"/>
        <family val="2"/>
      </rPr>
      <t xml:space="preserve">（ 明标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无依据的工程初值，须在配置注释里写明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）， 取小值的代价只是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多回一次预置位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，取大值的代价是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越飘越离谱且无人察觉</t>
    </r>
    <r>
      <rPr>
        <sz val="10"/>
        <rFont val="Arial"/>
        <family val="0"/>
        <charset val="1"/>
      </rPr>
      <t xml:space="preserve">" ⇒ </t>
    </r>
    <r>
      <rPr>
        <sz val="10"/>
        <rFont val="Noto Sans CJK SC"/>
        <family val="2"/>
      </rPr>
      <t xml:space="preserve">偏小是安全方向</t>
    </r>
  </si>
  <si>
    <t xml:space="preserve">❌ 未实现</t>
  </si>
  <si>
    <r>
      <rPr>
        <sz val="10"/>
        <rFont val="Arial"/>
        <family val="0"/>
        <charset val="1"/>
      </rPr>
      <t xml:space="preserve">F3 / 5.3</t>
    </r>
    <r>
      <rPr>
        <sz val="10"/>
        <rFont val="Noto Sans CJK SC"/>
        <family val="2"/>
      </rPr>
      <t xml:space="preserve">【新】</t>
    </r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实测约束（</t>
    </r>
    <r>
      <rPr>
        <sz val="10"/>
        <rFont val="Arial"/>
        <family val="0"/>
        <charset val="1"/>
      </rPr>
      <t xml:space="preserve">C28</t>
    </r>
    <r>
      <rPr>
        <sz val="10"/>
        <rFont val="Noto Sans CJK SC"/>
        <family val="2"/>
      </rPr>
      <t xml:space="preserve">）</t>
    </r>
  </si>
  <si>
    <t xml:space="preserve">PAY-30</t>
  </si>
  <si>
    <r>
      <rPr>
        <sz val="10"/>
        <rFont val="Noto Sans CJK SC"/>
        <family val="2"/>
      </rPr>
      <t xml:space="preserve">云台是单一共用资源（</t>
    </r>
    <r>
      <rPr>
        <sz val="10"/>
        <rFont val="Arial"/>
        <family val="0"/>
        <charset val="1"/>
      </rPr>
      <t xml:space="preserve">U49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</si>
  <si>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云台是单一共用资源（</t>
    </r>
    <r>
      <rPr>
        <sz val="10"/>
        <rFont val="Arial"/>
        <family val="0"/>
        <charset val="1"/>
      </rPr>
      <t xml:space="preserve">U49</t>
    </r>
    <r>
      <rPr>
        <sz val="10"/>
        <rFont val="Noto Sans CJK SC"/>
        <family val="2"/>
      </rPr>
      <t xml:space="preserve">）：一台布控球 ＝ 一个云台面 ＋ 两个相机（可见光 </t>
    </r>
    <r>
      <rPr>
        <sz val="10"/>
        <rFont val="Arial"/>
        <family val="0"/>
        <charset val="1"/>
      </rPr>
      <t xml:space="preserve">.66.13</t>
    </r>
    <r>
      <rPr>
        <sz val="10"/>
        <rFont val="Noto Sans CJK SC"/>
        <family val="2"/>
      </rPr>
      <t xml:space="preserve">、红外 </t>
    </r>
    <r>
      <rPr>
        <sz val="10"/>
        <rFont val="Arial"/>
        <family val="0"/>
        <charset val="1"/>
      </rPr>
      <t xml:space="preserve">.66.108</t>
    </r>
    <r>
      <rPr>
        <sz val="10"/>
        <rFont val="Noto Sans CJK SC"/>
        <family val="2"/>
      </rPr>
      <t xml:space="preserve">），两相机物理共面，</t>
    </r>
    <r>
      <rPr>
        <sz val="10"/>
        <rFont val="Arial"/>
        <family val="0"/>
        <charset val="1"/>
      </rPr>
      <t xml:space="preserve">X/Y </t>
    </r>
    <r>
      <rPr>
        <sz val="10"/>
        <rFont val="Noto Sans CJK SC"/>
        <family val="2"/>
      </rPr>
      <t xml:space="preserve">运动效果对等。
 三条推论：
① </t>
    </r>
    <r>
      <rPr>
        <sz val="10"/>
        <rFont val="Arial"/>
        <family val="0"/>
        <charset val="1"/>
      </rPr>
      <t xml:space="preserve">ptz_* </t>
    </r>
    <r>
      <rPr>
        <sz val="10"/>
        <rFont val="Noto Sans CJK SC"/>
        <family val="2"/>
      </rPr>
      <t xml:space="preserve">指令不带 </t>
    </r>
    <r>
      <rPr>
        <sz val="10"/>
        <rFont val="Arial"/>
        <family val="0"/>
        <charset val="1"/>
      </rPr>
      <t xml:space="preserve">camera_id / stream </t>
    </r>
    <r>
      <rPr>
        <sz val="10"/>
        <rFont val="Noto Sans CJK SC"/>
        <family val="2"/>
      </rPr>
      <t xml:space="preserve">槽位（</t>
    </r>
    <r>
      <rPr>
        <sz val="10"/>
        <rFont val="Arial"/>
        <family val="0"/>
        <charset val="1"/>
      </rPr>
      <t xml:space="preserve">18 E </t>
    </r>
    <r>
      <rPr>
        <sz val="10"/>
        <rFont val="Noto Sans CJK SC"/>
        <family val="2"/>
      </rPr>
      <t xml:space="preserve">类条数不变）；
② </t>
    </r>
    <r>
      <rPr>
        <sz val="10"/>
        <rFont val="Arial"/>
        <family val="0"/>
        <charset val="1"/>
      </rPr>
      <t xml:space="preserve">CON-01 </t>
    </r>
    <r>
      <rPr>
        <sz val="10"/>
        <rFont val="Noto Sans CJK SC"/>
        <family val="2"/>
      </rPr>
      <t xml:space="preserve">域⑤ 仍是单一资源，不按相机拆分；
③ 「看哪一路视频」是视频流选择（媒体面，属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），不是云台控制，不进指令集</t>
    </r>
  </si>
  <si>
    <r>
      <rPr>
        <sz val="10"/>
        <rFont val="Noto Sans CJK SC"/>
        <family val="2"/>
      </rPr>
      <t xml:space="preserve">云端点动后 </t>
    </r>
    <r>
      <rPr>
        <sz val="10"/>
        <rFont val="Arial"/>
        <family val="0"/>
        <charset val="1"/>
      </rPr>
      <t xml:space="preserve">30 s </t>
    </r>
    <r>
      <rPr>
        <sz val="10"/>
        <rFont val="Noto Sans CJK SC"/>
        <family val="2"/>
      </rPr>
      <t xml:space="preserve">内进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照常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，云台域仍归 </t>
    </r>
    <r>
      <rPr>
        <sz val="10"/>
        <rFont val="Arial"/>
        <family val="0"/>
        <charset val="1"/>
      </rPr>
      <t xml:space="preserve">manual_cloud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30 s </t>
    </r>
    <r>
      <rPr>
        <sz val="10"/>
        <rFont val="Noto Sans CJK SC"/>
        <family val="2"/>
      </rPr>
      <t xml:space="preserve">后 </t>
    </r>
    <r>
      <rPr>
        <sz val="10"/>
        <rFont val="Arial"/>
        <family val="0"/>
        <charset val="1"/>
      </rPr>
      <t xml:space="preserve">auto_track </t>
    </r>
    <r>
      <rPr>
        <sz val="10"/>
        <rFont val="Noto Sans CJK SC"/>
        <family val="2"/>
      </rPr>
      <t xml:space="preserve">接手；退出释放。</t>
    </r>
  </si>
  <si>
    <r>
      <rPr>
        <sz val="10"/>
        <rFont val="Noto Sans CJK SC"/>
        <family val="2"/>
      </rPr>
      <t xml:space="preserve">✅ 云台域接入仲裁，</t>
    </r>
    <r>
      <rPr>
        <sz val="10"/>
        <rFont val="Arial"/>
        <family val="0"/>
        <charset val="1"/>
      </rPr>
      <t xml:space="preserve">state/arb/ptz </t>
    </r>
    <r>
      <rPr>
        <sz val="10"/>
        <rFont val="Noto Sans CJK SC"/>
        <family val="2"/>
      </rPr>
      <t xml:space="preserve">反映真实持有者（</t>
    </r>
    <r>
      <rPr>
        <sz val="10"/>
        <rFont val="Arial"/>
        <family val="0"/>
        <charset val="1"/>
      </rPr>
      <t xml:space="preserve">10-28 </t>
    </r>
    <r>
      <rPr>
        <sz val="10"/>
        <rFont val="Noto Sans CJK SC"/>
        <family val="2"/>
      </rPr>
      <t xml:space="preserve">真机）</t>
    </r>
  </si>
  <si>
    <t xml:space="preserve">PAY-31</t>
  </si>
  <si>
    <r>
      <rPr>
        <sz val="10"/>
        <rFont val="Noto Sans CJK SC"/>
        <family val="2"/>
      </rPr>
      <t xml:space="preserve">唯一可用的点动原语是 </t>
    </r>
    <r>
      <rPr>
        <sz val="10"/>
        <rFont val="Arial"/>
        <family val="0"/>
        <charset val="1"/>
      </rPr>
      <t xml:space="preserve">ONVIF ContinuousMove</t>
    </r>
  </si>
  <si>
    <r>
      <rPr>
        <sz val="10"/>
        <rFont val="Noto Sans CJK SC"/>
        <family val="2"/>
      </rPr>
      <t xml:space="preserve">唯一可用的点动原语是 </t>
    </r>
    <r>
      <rPr>
        <sz val="10"/>
        <rFont val="Arial"/>
        <family val="0"/>
        <charset val="1"/>
      </rPr>
      <t xml:space="preserve">ONVIF ContinuousMove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LAPI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944 </t>
    </r>
    <r>
      <rPr>
        <sz val="10"/>
        <rFont val="Noto Sans CJK SC"/>
        <family val="2"/>
      </rPr>
      <t xml:space="preserve">个端点里没有连续点动接口。
 认证必须 </t>
    </r>
    <r>
      <rPr>
        <sz val="10"/>
        <rFont val="Arial"/>
        <family val="0"/>
        <charset val="1"/>
      </rPr>
      <t xml:space="preserve">WS-Security PasswordDigest</t>
    </r>
    <r>
      <rPr>
        <sz val="10"/>
        <rFont val="Noto Sans CJK SC"/>
        <family val="2"/>
      </rPr>
      <t xml:space="preserve">，且 不能叠加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认证（叠加即失败）。
 每条 </t>
    </r>
    <r>
      <rPr>
        <sz val="10"/>
        <rFont val="Arial"/>
        <family val="0"/>
        <charset val="1"/>
      </rPr>
      <t xml:space="preserve">ONVIF </t>
    </r>
    <r>
      <rPr>
        <sz val="10"/>
        <rFont val="Noto Sans CJK SC"/>
        <family val="2"/>
      </rPr>
      <t xml:space="preserve">命令 </t>
    </r>
    <r>
      <rPr>
        <sz val="10"/>
        <rFont val="Arial"/>
        <family val="0"/>
        <charset val="1"/>
      </rPr>
      <t xml:space="preserve">58 ms</t>
    </r>
    <r>
      <rPr>
        <sz val="10"/>
        <rFont val="Noto Sans CJK SC"/>
        <family val="2"/>
      </rPr>
      <t xml:space="preserve">（持久连接仅降到 </t>
    </r>
    <r>
      <rPr>
        <sz val="10"/>
        <rFont val="Arial"/>
        <family val="0"/>
        <charset val="1"/>
      </rPr>
      <t xml:space="preserve">55 ms</t>
    </r>
    <r>
      <rPr>
        <sz val="10"/>
        <rFont val="Noto Sans CJK SC"/>
        <family val="2"/>
      </rPr>
      <t xml:space="preserve">）→ 开销在相机侧，不在网络侧，优化网络无效 → 控制频率上限 </t>
    </r>
    <r>
      <rPr>
        <sz val="10"/>
        <rFont val="Arial"/>
        <family val="0"/>
        <charset val="1"/>
      </rPr>
      <t xml:space="preserve">17 Hz</t>
    </r>
    <r>
      <rPr>
        <sz val="10"/>
        <rFont val="Noto Sans CJK SC"/>
        <family val="2"/>
      </rPr>
      <t xml:space="preserve">。
 任何设计不得假设高于 </t>
    </r>
    <r>
      <rPr>
        <sz val="10"/>
        <rFont val="Arial"/>
        <family val="0"/>
        <charset val="1"/>
      </rPr>
      <t xml:space="preserve">17 Hz </t>
    </r>
    <r>
      <rPr>
        <sz val="10"/>
        <rFont val="Noto Sans CJK SC"/>
        <family val="2"/>
      </rPr>
      <t xml:space="preserve">的云台控制回路</t>
    </r>
  </si>
  <si>
    <r>
      <rPr>
        <sz val="10"/>
        <rFont val="Arial"/>
        <family val="0"/>
        <charset val="1"/>
      </rPr>
      <t xml:space="preserve">✅ ContinuousMove </t>
    </r>
    <r>
      <rPr>
        <sz val="10"/>
        <rFont val="Noto Sans CJK SC"/>
        <family val="2"/>
      </rPr>
      <t xml:space="preserve">点动（云端 </t>
    </r>
    <r>
      <rPr>
        <sz val="10"/>
        <rFont val="Arial"/>
        <family val="0"/>
        <charset val="1"/>
      </rPr>
      <t xml:space="preserve">v0.2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10-28 </t>
    </r>
    <r>
      <rPr>
        <sz val="10"/>
        <rFont val="Noto Sans CJK SC"/>
        <family val="2"/>
      </rPr>
      <t xml:space="preserve">真机）</t>
    </r>
  </si>
  <si>
    <t xml:space="preserve">PAY-32</t>
  </si>
  <si>
    <t xml:space="preserve">绝对定位与位置回读均不可用</t>
  </si>
  <si>
    <r>
      <rPr>
        <sz val="10"/>
        <rFont val="Noto Sans CJK SC"/>
        <family val="2"/>
      </rPr>
      <t xml:space="preserve">绝对定位与位置回读均不可用：
① 绝对定位在 </t>
    </r>
    <r>
      <rPr>
        <sz val="10"/>
        <rFont val="Arial"/>
        <family val="0"/>
        <charset val="1"/>
      </rPr>
      <t xml:space="preserve">PELCO-D </t>
    </r>
    <r>
      <rPr>
        <sz val="10"/>
        <rFont val="Noto Sans CJK SC"/>
        <family val="2"/>
      </rPr>
      <t xml:space="preserve">外置云台下是空操作 —— 返回成功但不动（ 最坑的一点：它不报错，上层会误判成功）；
② 位置回读恒为假值 </t>
    </r>
    <r>
      <rPr>
        <sz val="10"/>
        <rFont val="Arial"/>
        <family val="0"/>
        <charset val="1"/>
      </rPr>
      <t xml:space="preserve">(180, 0)</t>
    </r>
    <r>
      <rPr>
        <sz val="10"/>
        <rFont val="Noto Sans CJK SC"/>
        <family val="2"/>
      </rPr>
      <t xml:space="preserve">。
 因此以下能力在本项目中一律不存在，任何文档不得再引用：绝对角控制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位置闭环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云台角度量测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基于角度的坐标反投影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「是否真的归零」的自校验。
 上层收到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成功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响应时必须视为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命令已被接受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，不得视为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动作已完成</t>
    </r>
    <r>
      <rPr>
        <sz val="10"/>
        <rFont val="Arial"/>
        <family val="0"/>
        <charset val="1"/>
      </rPr>
      <t xml:space="preserve">"</t>
    </r>
  </si>
  <si>
    <t xml:space="preserve">审查：按约束不用绝对定位</t>
  </si>
  <si>
    <t xml:space="preserve">PAY-33</t>
  </si>
  <si>
    <r>
      <rPr>
        <sz val="10"/>
        <rFont val="Noto Sans CJK SC"/>
        <family val="2"/>
      </rPr>
      <t xml:space="preserve">归零 ＝ </t>
    </r>
    <r>
      <rPr>
        <sz val="10"/>
        <rFont val="Arial"/>
        <family val="0"/>
        <charset val="1"/>
      </rPr>
      <t xml:space="preserve">Preset</t>
    </r>
    <r>
      <rPr>
        <sz val="10"/>
        <rFont val="Noto Sans CJK SC"/>
        <family val="2"/>
      </rPr>
      <t xml:space="preserve">（能力集 </t>
    </r>
    <r>
      <rPr>
        <sz val="10"/>
        <rFont val="Arial"/>
        <family val="0"/>
        <charset val="1"/>
      </rPr>
      <t xml:space="preserve">SupportPreset=1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</si>
  <si>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归零 ＝ </t>
    </r>
    <r>
      <rPr>
        <sz val="10"/>
        <rFont val="Arial"/>
        <family val="0"/>
        <charset val="1"/>
      </rPr>
      <t xml:space="preserve">Preset</t>
    </r>
    <r>
      <rPr>
        <sz val="10"/>
        <rFont val="Noto Sans CJK SC"/>
        <family val="2"/>
      </rPr>
      <t xml:space="preserve">（能力集 </t>
    </r>
    <r>
      <rPr>
        <sz val="10"/>
        <rFont val="Arial"/>
        <family val="0"/>
        <charset val="1"/>
      </rPr>
      <t xml:space="preserve">SupportPreset=1</t>
    </r>
    <r>
      <rPr>
        <sz val="10"/>
        <rFont val="Noto Sans CJK SC"/>
        <family val="2"/>
      </rPr>
      <t xml:space="preserve">）。 不存在其他归零手段。
 </t>
    </r>
    <r>
      <rPr>
        <sz val="10"/>
        <rFont val="Arial"/>
        <family val="0"/>
        <charset val="1"/>
      </rPr>
      <t xml:space="preserve">T-PTZ-1 </t>
    </r>
    <r>
      <rPr>
        <sz val="10"/>
        <rFont val="Noto Sans CJK SC"/>
        <family val="2"/>
      </rPr>
      <t xml:space="preserve">未闭前，</t>
    </r>
    <r>
      <rPr>
        <sz val="10"/>
        <rFont val="Arial"/>
        <family val="0"/>
        <charset val="1"/>
      </rPr>
      <t xml:space="preserve">ptz_home </t>
    </r>
    <r>
      <rPr>
        <sz val="10"/>
        <rFont val="Noto Sans CJK SC"/>
        <family val="2"/>
      </rPr>
      <t xml:space="preserve">与一切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归位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语义均为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尽力而为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，不得作为其他功能的前置保证</t>
    </r>
  </si>
  <si>
    <r>
      <rPr>
        <sz val="10"/>
        <rFont val="Arial"/>
        <family val="0"/>
        <charset val="1"/>
      </rPr>
      <t xml:space="preserve">❌ Preset </t>
    </r>
    <r>
      <rPr>
        <sz val="10"/>
        <rFont val="Noto Sans CJK SC"/>
        <family val="2"/>
      </rPr>
      <t xml:space="preserve">归零未实现</t>
    </r>
  </si>
  <si>
    <t xml:space="preserve">PAY-34</t>
  </si>
  <si>
    <r>
      <rPr>
        <sz val="10"/>
        <rFont val="Noto Sans CJK SC"/>
        <family val="2"/>
      </rPr>
      <t xml:space="preserve">双栈冲突一律以 </t>
    </r>
    <r>
      <rPr>
        <sz val="10"/>
        <rFont val="Arial"/>
        <family val="0"/>
        <charset val="1"/>
      </rPr>
      <t xml:space="preserve">LAPI </t>
    </r>
    <r>
      <rPr>
        <sz val="10"/>
        <rFont val="Noto Sans CJK SC"/>
        <family val="2"/>
      </rPr>
      <t xml:space="preserve">为准（</t>
    </r>
    <r>
      <rPr>
        <sz val="10"/>
        <rFont val="Arial"/>
        <family val="0"/>
        <charset val="1"/>
      </rPr>
      <t xml:space="preserve">LAPI </t>
    </r>
    <r>
      <rPr>
        <sz val="10"/>
        <rFont val="Noto Sans CJK SC"/>
        <family val="2"/>
      </rPr>
      <t xml:space="preserve">是设备原生，</t>
    </r>
    <r>
      <rPr>
        <sz val="10"/>
        <rFont val="Arial"/>
        <family val="0"/>
        <charset val="1"/>
      </rPr>
      <t xml:space="preserve">ONVIF </t>
    </r>
    <r>
      <rPr>
        <sz val="10"/>
        <rFont val="Noto Sans CJK SC"/>
        <family val="2"/>
      </rPr>
      <t xml:space="preserve">是适配层）</t>
    </r>
  </si>
  <si>
    <r>
      <rPr>
        <sz val="10"/>
        <rFont val="Noto Sans CJK SC"/>
        <family val="2"/>
      </rPr>
      <t xml:space="preserve">双栈冲突一律以 </t>
    </r>
    <r>
      <rPr>
        <sz val="10"/>
        <rFont val="Arial"/>
        <family val="0"/>
        <charset val="1"/>
      </rPr>
      <t xml:space="preserve">LAPI </t>
    </r>
    <r>
      <rPr>
        <sz val="10"/>
        <rFont val="Noto Sans CJK SC"/>
        <family val="2"/>
      </rPr>
      <t xml:space="preserve">为准（</t>
    </r>
    <r>
      <rPr>
        <sz val="10"/>
        <rFont val="Arial"/>
        <family val="0"/>
        <charset val="1"/>
      </rPr>
      <t xml:space="preserve">LAPI </t>
    </r>
    <r>
      <rPr>
        <sz val="10"/>
        <rFont val="Noto Sans CJK SC"/>
        <family val="2"/>
      </rPr>
      <t xml:space="preserve">是设备原生，</t>
    </r>
    <r>
      <rPr>
        <sz val="10"/>
        <rFont val="Arial"/>
        <family val="0"/>
        <charset val="1"/>
      </rPr>
      <t xml:space="preserve">ONVIF </t>
    </r>
    <r>
      <rPr>
        <sz val="10"/>
        <rFont val="Noto Sans CJK SC"/>
        <family val="2"/>
      </rPr>
      <t xml:space="preserve">是适配层）。
 分工：点动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</t>
    </r>
    <r>
      <rPr>
        <sz val="10"/>
        <rFont val="Arial"/>
        <family val="0"/>
        <charset val="1"/>
      </rPr>
      <t xml:space="preserve">/Preset </t>
    </r>
    <r>
      <rPr>
        <sz val="10"/>
        <rFont val="Noto Sans CJK SC"/>
        <family val="2"/>
      </rPr>
      <t xml:space="preserve">走 </t>
    </r>
    <r>
      <rPr>
        <sz val="10"/>
        <rFont val="Arial"/>
        <family val="0"/>
        <charset val="1"/>
      </rPr>
      <t xml:space="preserve">ONVIF</t>
    </r>
    <r>
      <rPr>
        <sz val="10"/>
        <rFont val="Noto Sans CJK SC"/>
        <family val="2"/>
      </rPr>
      <t xml:space="preserve">；对焦模式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码率 </t>
    </r>
    <r>
      <rPr>
        <sz val="10"/>
        <rFont val="Arial"/>
        <family val="0"/>
        <charset val="1"/>
      </rPr>
      <t xml:space="preserve">· I </t>
    </r>
    <r>
      <rPr>
        <sz val="10"/>
        <rFont val="Noto Sans CJK SC"/>
        <family val="2"/>
      </rPr>
      <t xml:space="preserve">间隔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屏蔽触发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能力查询走 </t>
    </r>
    <r>
      <rPr>
        <sz val="10"/>
        <rFont val="Arial"/>
        <family val="0"/>
        <charset val="1"/>
      </rPr>
      <t xml:space="preserve">LAPI</t>
    </r>
    <r>
      <rPr>
        <sz val="10"/>
        <rFont val="Noto Sans CJK SC"/>
        <family val="2"/>
      </rPr>
      <t xml:space="preserve">。
 </t>
    </r>
    <r>
      <rPr>
        <sz val="10"/>
        <rFont val="Arial"/>
        <family val="0"/>
        <charset val="1"/>
      </rPr>
      <t xml:space="preserve">2026-08-05 </t>
    </r>
    <r>
      <rPr>
        <sz val="10"/>
        <rFont val="Noto Sans CJK SC"/>
        <family val="2"/>
      </rPr>
      <t xml:space="preserve">注：本条不改 —— 云台码率控制取消后，「码率 </t>
    </r>
    <r>
      <rPr>
        <sz val="10"/>
        <rFont val="Arial"/>
        <family val="0"/>
        <charset val="1"/>
      </rPr>
      <t xml:space="preserve">/ I </t>
    </r>
    <r>
      <rPr>
        <sz val="10"/>
        <rFont val="Noto Sans CJK SC"/>
        <family val="2"/>
      </rPr>
      <t xml:space="preserve">间隔」仍归 </t>
    </r>
    <r>
      <rPr>
        <sz val="10"/>
        <rFont val="Arial"/>
        <family val="0"/>
        <charset val="1"/>
      </rPr>
      <t xml:space="preserve">LAPI</t>
    </r>
    <r>
      <rPr>
        <sz val="10"/>
        <rFont val="Noto Sans CJK SC"/>
        <family val="2"/>
      </rPr>
      <t xml:space="preserve">，只是写入时机收敛为开机一次的基线写入（</t>
    </r>
    <r>
      <rPr>
        <sz val="10"/>
        <rFont val="Arial"/>
        <family val="0"/>
        <charset val="1"/>
      </rPr>
      <t xml:space="preserve">BIT-34 ③④ / PAY-35</t>
    </r>
    <r>
      <rPr>
        <sz val="10"/>
        <rFont val="Noto Sans CJK SC"/>
        <family val="2"/>
      </rPr>
      <t xml:space="preserve">）， 运行期不再有任何提升与恢复。
 本条是规矩而非建议：凡两侧都能改的项，只允许从 </t>
    </r>
    <r>
      <rPr>
        <sz val="10"/>
        <rFont val="Arial"/>
        <family val="0"/>
        <charset val="1"/>
      </rPr>
      <t xml:space="preserve">LAPI </t>
    </r>
    <r>
      <rPr>
        <sz val="10"/>
        <rFont val="Noto Sans CJK SC"/>
        <family val="2"/>
      </rPr>
      <t xml:space="preserve">改，且写后回读确认（</t>
    </r>
    <r>
      <rPr>
        <sz val="10"/>
        <rFont val="Arial"/>
        <family val="0"/>
        <charset val="1"/>
      </rPr>
      <t xml:space="preserve">LAPI </t>
    </r>
    <r>
      <rPr>
        <sz val="10"/>
        <rFont val="Noto Sans CJK SC"/>
        <family val="2"/>
      </rPr>
      <t xml:space="preserve">可读回，这是它优于 </t>
    </r>
    <r>
      <rPr>
        <sz val="10"/>
        <rFont val="Arial"/>
        <family val="0"/>
        <charset val="1"/>
      </rPr>
      <t xml:space="preserve">ONVIF </t>
    </r>
    <r>
      <rPr>
        <sz val="10"/>
        <rFont val="Noto Sans CJK SC"/>
        <family val="2"/>
      </rPr>
      <t xml:space="preserve">的关键）</t>
    </r>
  </si>
  <si>
    <t xml:space="preserve">PAY-35</t>
  </si>
  <si>
    <t xml:space="preserve">原条目整体作废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</si>
  <si>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2026-08-05 </t>
    </r>
    <r>
      <rPr>
        <sz val="10"/>
        <rFont val="Noto Sans CJK SC"/>
        <family val="2"/>
      </rPr>
      <t xml:space="preserve">整条重写 —— 用户裁决逐字：「系统不需要支持云台码率的相关控制」】
 原条目整体作废：原文要求「云台运动期间临时提升编码码率并缩短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间隔（</t>
    </r>
    <r>
      <rPr>
        <sz val="10"/>
        <rFont val="Arial"/>
        <family val="0"/>
        <charset val="1"/>
      </rPr>
      <t xml:space="preserve">6144 → 16384 kbps / I=50 → 25</t>
    </r>
    <r>
      <rPr>
        <sz val="10"/>
        <rFont val="Noto Sans CJK SC"/>
        <family val="2"/>
      </rPr>
      <t xml:space="preserve">），退出时恢复原值」，触发方归 </t>
    </r>
    <r>
      <rPr>
        <sz val="10"/>
        <rFont val="Arial"/>
        <family val="0"/>
        <charset val="1"/>
      </rPr>
      <t xml:space="preserve">P2</t>
    </r>
    <r>
      <rPr>
        <sz val="10"/>
        <rFont val="Noto Sans CJK SC"/>
        <family val="2"/>
      </rPr>
      <t xml:space="preserve">、前置反向握手取 </t>
    </r>
    <r>
      <rPr>
        <sz val="10"/>
        <rFont val="Arial"/>
        <family val="0"/>
        <charset val="1"/>
      </rPr>
      <t xml:space="preserve">state/link.uplink.boost_allow —— ptz.boost </t>
    </r>
    <r>
      <rPr>
        <sz val="10"/>
        <rFont val="Noto Sans CJK SC"/>
        <family val="2"/>
      </rPr>
      <t xml:space="preserve">特性已从设计中删除，上述全部不再实现。
 本条现存的唯一内容 ＝ 码率基线（唯一档）：布控球编码码率与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间隔只有一个常态值（实测基线 </t>
    </r>
    <r>
      <rPr>
        <sz val="10"/>
        <rFont val="Arial"/>
        <family val="0"/>
        <charset val="1"/>
      </rPr>
      <t xml:space="preserve">6144 kbps / I=50</t>
    </r>
    <r>
      <rPr>
        <sz val="10"/>
        <rFont val="Noto Sans CJK SC"/>
        <family val="2"/>
      </rPr>
      <t xml:space="preserve">），由 </t>
    </r>
    <r>
      <rPr>
        <sz val="10"/>
        <rFont val="Arial"/>
        <family val="0"/>
        <charset val="1"/>
      </rPr>
      <t xml:space="preserve">BIT-34 </t>
    </r>
    <r>
      <rPr>
        <sz val="10"/>
        <rFont val="Noto Sans CJK SC"/>
        <family val="2"/>
      </rPr>
      <t xml:space="preserve">开机经 </t>
    </r>
    <r>
      <rPr>
        <sz val="10"/>
        <rFont val="Arial"/>
        <family val="0"/>
        <charset val="1"/>
      </rPr>
      <t xml:space="preserve">LAPI </t>
    </r>
    <r>
      <rPr>
        <sz val="10"/>
        <rFont val="Noto Sans CJK SC"/>
        <family val="2"/>
      </rPr>
      <t xml:space="preserve">写入并逐项回读确认（</t>
    </r>
    <r>
      <rPr>
        <sz val="10"/>
        <rFont val="Arial"/>
        <family val="0"/>
        <charset val="1"/>
      </rPr>
      <t xml:space="preserve">PAY-34</t>
    </r>
    <r>
      <rPr>
        <sz val="10"/>
        <rFont val="Noto Sans CJK SC"/>
        <family val="2"/>
      </rPr>
      <t xml:space="preserve">）； 运行期不得有任何提升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恢复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联动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握手动作。
 为什么保留编号而不删条：</t>
    </r>
    <r>
      <rPr>
        <sz val="10"/>
        <rFont val="Arial"/>
        <family val="0"/>
        <charset val="1"/>
      </rPr>
      <t xml:space="preserve">PAY-21 · PAY-27 · PAY-37 · BIT-34 ③④ · CAL-02 ② </t>
    </r>
    <r>
      <rPr>
        <sz val="10"/>
        <rFont val="Noto Sans CJK SC"/>
        <family val="2"/>
      </rPr>
      <t xml:space="preserve">共五处引用「码率 </t>
    </r>
    <r>
      <rPr>
        <sz val="10"/>
        <rFont val="Arial"/>
        <family val="0"/>
        <charset val="1"/>
      </rPr>
      <t xml:space="preserve">/ I </t>
    </r>
    <r>
      <rPr>
        <sz val="10"/>
        <rFont val="Noto Sans CJK SC"/>
        <family val="2"/>
      </rPr>
      <t xml:space="preserve">间隔基线」，删条会让五处悬空。
 随本次一并作废的：</t>
    </r>
    <r>
      <rPr>
        <sz val="10"/>
        <rFont val="Arial"/>
        <family val="0"/>
        <charset val="1"/>
      </rPr>
      <t xml:space="preserve">COM-58</t>
    </r>
    <r>
      <rPr>
        <sz val="10"/>
        <rFont val="Noto Sans CJK SC"/>
        <family val="2"/>
      </rPr>
      <t xml:space="preserve">（带宽让路）</t>
    </r>
    <r>
      <rPr>
        <sz val="10"/>
        <rFont val="Arial"/>
        <family val="0"/>
        <charset val="1"/>
      </rPr>
      <t xml:space="preserve">· COM-58a</t>
    </r>
    <r>
      <rPr>
        <sz val="10"/>
        <rFont val="Noto Sans CJK SC"/>
        <family val="2"/>
      </rPr>
      <t xml:space="preserve">（前置反向握手）</t>
    </r>
    <r>
      <rPr>
        <sz val="10"/>
        <rFont val="Arial"/>
        <family val="0"/>
        <charset val="1"/>
      </rPr>
      <t xml:space="preserve">· COM-59</t>
    </r>
    <r>
      <rPr>
        <sz val="10"/>
        <rFont val="Noto Sans CJK SC"/>
        <family val="2"/>
      </rPr>
      <t xml:space="preserve">（进入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退出滞回）</t>
    </r>
    <r>
      <rPr>
        <sz val="10"/>
        <rFont val="Arial"/>
        <family val="0"/>
        <charset val="1"/>
      </rPr>
      <t xml:space="preserve">· 11 §4.6.2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boost_allow </t>
    </r>
    <r>
      <rPr>
        <sz val="10"/>
        <rFont val="Noto Sans CJK SC"/>
        <family val="2"/>
      </rPr>
      <t xml:space="preserve">载体 —— 见 </t>
    </r>
    <r>
      <rPr>
        <sz val="10"/>
        <rFont val="Arial"/>
        <family val="0"/>
        <charset val="1"/>
      </rPr>
      <t xml:space="preserve">§11.6 </t>
    </r>
    <r>
      <rPr>
        <sz val="10"/>
        <rFont val="Noto Sans CJK SC"/>
        <family val="2"/>
      </rPr>
      <t xml:space="preserve">墓碑行。
 实测事实保留备查（它是 </t>
    </r>
    <r>
      <rPr>
        <sz val="10"/>
        <rFont val="Arial"/>
        <family val="0"/>
        <charset val="1"/>
      </rPr>
      <t xml:space="preserve">PAY-37 </t>
    </r>
    <r>
      <rPr>
        <sz val="10"/>
        <rFont val="Noto Sans CJK SC"/>
        <family val="2"/>
      </rPr>
      <t xml:space="preserve">的依据，不是需求）：</t>
    </r>
    <r>
      <rPr>
        <sz val="10"/>
        <rFont val="Arial"/>
        <family val="0"/>
        <charset val="1"/>
      </rPr>
      <t xml:space="preserve">6144 kbps / I=50 </t>
    </r>
    <r>
      <rPr>
        <sz val="10"/>
        <rFont val="Noto Sans CJK SC"/>
        <family val="2"/>
      </rPr>
      <t xml:space="preserve">下摇摄清晰度仅静止的 </t>
    </r>
    <r>
      <rPr>
        <sz val="10"/>
        <rFont val="Arial"/>
        <family val="0"/>
        <charset val="1"/>
      </rPr>
      <t xml:space="preserve">31%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16384 kbps / I=25 </t>
    </r>
    <r>
      <rPr>
        <sz val="10"/>
        <rFont val="Noto Sans CJK SC"/>
        <family val="2"/>
      </rPr>
      <t xml:space="preserve">可到 </t>
    </r>
    <r>
      <rPr>
        <sz val="10"/>
        <rFont val="Arial"/>
        <family val="0"/>
        <charset val="1"/>
      </rPr>
      <t xml:space="preserve">51% —— </t>
    </r>
    <r>
      <rPr>
        <sz val="10"/>
        <rFont val="Noto Sans CJK SC"/>
        <family val="2"/>
      </rPr>
      <t xml:space="preserve">后者这一档已不存在，现场实际值按 </t>
    </r>
    <r>
      <rPr>
        <sz val="10"/>
        <rFont val="Arial"/>
        <family val="0"/>
        <charset val="1"/>
      </rPr>
      <t xml:space="preserve">31% </t>
    </r>
    <r>
      <rPr>
        <sz val="10"/>
        <rFont val="Noto Sans CJK SC"/>
        <family val="2"/>
      </rPr>
      <t xml:space="preserve">计</t>
    </r>
  </si>
  <si>
    <t xml:space="preserve">PAY-36</t>
  </si>
  <si>
    <t xml:space="preserve">对焦双栈两个坑，必须在会话开始时显式初始化、结束时恢复</t>
  </si>
  <si>
    <r>
      <rPr>
        <sz val="10"/>
        <rFont val="Noto Sans CJK SC"/>
        <family val="2"/>
      </rPr>
      <t xml:space="preserve">对焦双栈两个坑，必须在会话开始时显式初始化、结束时恢复：
① </t>
    </r>
    <r>
      <rPr>
        <sz val="10"/>
        <rFont val="Arial"/>
        <family val="0"/>
        <charset val="1"/>
      </rPr>
      <t xml:space="preserve">ShieldTrigger.MovePTZ </t>
    </r>
    <r>
      <rPr>
        <sz val="10"/>
        <rFont val="Noto Sans CJK SC"/>
        <family val="2"/>
      </rPr>
      <t xml:space="preserve">缺省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＝ 不屏蔽 → 云台一动就重对焦，画面反复拉风箱 → 置 </t>
    </r>
    <r>
      <rPr>
        <sz val="10"/>
        <rFont val="Arial"/>
        <family val="0"/>
        <charset val="1"/>
      </rPr>
      <t xml:space="preserve">MovePTZ=1</t>
    </r>
    <r>
      <rPr>
        <sz val="10"/>
        <rFont val="Noto Sans CJK SC"/>
        <family val="2"/>
      </rPr>
      <t xml:space="preserve">；
② </t>
    </r>
    <r>
      <rPr>
        <sz val="10"/>
        <rFont val="Arial"/>
        <family val="0"/>
        <charset val="1"/>
      </rPr>
      <t xml:space="preserve">ONVIF AutoFocusMode=AUTO </t>
    </r>
    <r>
      <rPr>
        <sz val="10"/>
        <rFont val="Noto Sans CJK SC"/>
        <family val="2"/>
      </rPr>
      <t xml:space="preserve">不映射回 </t>
    </r>
    <r>
      <rPr>
        <sz val="10"/>
        <rFont val="Arial"/>
        <family val="0"/>
        <charset val="1"/>
      </rPr>
      <t xml:space="preserve">LAPI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FocusMode → </t>
    </r>
    <r>
      <rPr>
        <sz val="10"/>
        <rFont val="Noto Sans CJK SC"/>
        <family val="2"/>
      </rPr>
      <t xml:space="preserve">相机实际停在手动对焦 → 转到不同距离的景物必虚 → 用 </t>
    </r>
    <r>
      <rPr>
        <sz val="10"/>
        <rFont val="Arial"/>
        <family val="0"/>
        <charset val="1"/>
      </rPr>
      <t xml:space="preserve">LAPI </t>
    </r>
    <r>
      <rPr>
        <sz val="10"/>
        <rFont val="Noto Sans CJK SC"/>
        <family val="2"/>
      </rPr>
      <t xml:space="preserve">写 </t>
    </r>
    <r>
      <rPr>
        <sz val="10"/>
        <rFont val="Arial"/>
        <family val="0"/>
        <charset val="1"/>
      </rPr>
      <t xml:space="preserve">FocusMode=2</t>
    </r>
    <r>
      <rPr>
        <sz val="10"/>
        <rFont val="Noto Sans CJK SC"/>
        <family val="2"/>
      </rPr>
      <t xml:space="preserve">（自动），退出时确认仍为自动。
 两项均须写后回读（</t>
    </r>
    <r>
      <rPr>
        <sz val="10"/>
        <rFont val="Arial"/>
        <family val="0"/>
        <charset val="1"/>
      </rPr>
      <t xml:space="preserve">PAY-34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</si>
  <si>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🟡 p2 </t>
    </r>
    <r>
      <rPr>
        <sz val="10"/>
        <rFont val="Noto Sans CJK SC"/>
        <family val="2"/>
      </rPr>
      <t xml:space="preserve">启动时做 </t>
    </r>
    <r>
      <rPr>
        <sz val="10"/>
        <rFont val="Arial"/>
        <family val="0"/>
        <charset val="1"/>
      </rPr>
      <t xml:space="preserve">F1/F2 </t>
    </r>
    <r>
      <rPr>
        <sz val="10"/>
        <rFont val="Noto Sans CJK SC"/>
        <family val="2"/>
      </rPr>
      <t xml:space="preserve">对焦初始化（</t>
    </r>
    <r>
      <rPr>
        <sz val="10"/>
        <rFont val="Arial"/>
        <family val="0"/>
        <charset val="1"/>
      </rPr>
      <t xml:space="preserve">U98</t>
    </r>
    <r>
      <rPr>
        <sz val="10"/>
        <rFont val="Noto Sans CJK SC"/>
        <family val="2"/>
      </rPr>
      <t xml:space="preserve">），未单独核</t>
    </r>
  </si>
  <si>
    <t xml:space="preserve">PAY-37</t>
  </si>
  <si>
    <t xml:space="preserve">摇摄清晰度有物理下限，不得写入验收指标</t>
  </si>
  <si>
    <r>
      <rPr>
        <sz val="10"/>
        <rFont val="Noto Sans CJK SC"/>
        <family val="2"/>
      </rPr>
      <t xml:space="preserve">摇摄清晰度有物理下限，不得写入验收指标：在唯一的码率档 </t>
    </r>
    <r>
      <rPr>
        <sz val="10"/>
        <rFont val="Arial"/>
        <family val="0"/>
        <charset val="1"/>
      </rPr>
      <t xml:space="preserve">6144 kbps / I=50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PAY-35</t>
    </r>
    <r>
      <rPr>
        <sz val="10"/>
        <rFont val="Noto Sans CJK SC"/>
        <family val="2"/>
      </rPr>
      <t xml:space="preserve">）下，摇摄清晰度仅为静止的 </t>
    </r>
    <r>
      <rPr>
        <sz val="10"/>
        <rFont val="Arial"/>
        <family val="0"/>
        <charset val="1"/>
      </rPr>
      <t xml:space="preserve">31%</t>
    </r>
    <r>
      <rPr>
        <sz val="10"/>
        <rFont val="Noto Sans CJK SC"/>
        <family val="2"/>
      </rPr>
      <t xml:space="preserve">。 损失中有相当一部分是 </t>
    </r>
    <r>
      <rPr>
        <sz val="10"/>
        <rFont val="Arial"/>
        <family val="0"/>
        <charset val="1"/>
      </rPr>
      <t xml:space="preserve">1/100 s </t>
    </r>
    <r>
      <rPr>
        <sz val="10"/>
        <rFont val="Noto Sans CJK SC"/>
        <family val="2"/>
      </rPr>
      <t xml:space="preserve">快门在高速下的运动模糊 —— 物理限制，除非降低云台速度或提高快门（画面会更暗）。
 </t>
    </r>
    <r>
      <rPr>
        <sz val="10"/>
        <rFont val="Arial"/>
        <family val="0"/>
        <charset val="1"/>
      </rPr>
      <t xml:space="preserve">2026-08-05 </t>
    </r>
    <r>
      <rPr>
        <sz val="10"/>
        <rFont val="Noto Sans CJK SC"/>
        <family val="2"/>
      </rPr>
      <t xml:space="preserve">订正：本条原写「即使按 </t>
    </r>
    <r>
      <rPr>
        <sz val="10"/>
        <rFont val="Arial"/>
        <family val="0"/>
        <charset val="1"/>
      </rPr>
      <t xml:space="preserve">PAY-35 </t>
    </r>
    <r>
      <rPr>
        <sz val="10"/>
        <rFont val="Noto Sans CJK SC"/>
        <family val="2"/>
      </rPr>
      <t xml:space="preserve">提到 </t>
    </r>
    <r>
      <rPr>
        <sz val="10"/>
        <rFont val="Arial"/>
        <family val="0"/>
        <charset val="1"/>
      </rPr>
      <t xml:space="preserve">16384/I=25</t>
    </r>
    <r>
      <rPr>
        <sz val="10"/>
        <rFont val="Noto Sans CJK SC"/>
        <family val="2"/>
      </rPr>
      <t xml:space="preserve">，摇摄清晰度也只有静止的 </t>
    </r>
    <r>
      <rPr>
        <sz val="10"/>
        <rFont val="Arial"/>
        <family val="0"/>
        <charset val="1"/>
      </rPr>
      <t xml:space="preserve">51%</t>
    </r>
    <r>
      <rPr>
        <sz val="10"/>
        <rFont val="Noto Sans CJK SC"/>
        <family val="2"/>
      </rPr>
      <t xml:space="preserve">。 剩余 </t>
    </r>
    <r>
      <rPr>
        <sz val="10"/>
        <rFont val="Arial"/>
        <family val="0"/>
        <charset val="1"/>
      </rPr>
      <t xml:space="preserve">49% </t>
    </r>
    <r>
      <rPr>
        <sz val="10"/>
        <rFont val="Noto Sans CJK SC"/>
        <family val="2"/>
      </rPr>
      <t xml:space="preserve">是 </t>
    </r>
    <r>
      <rPr>
        <sz val="10"/>
        <rFont val="Arial"/>
        <family val="0"/>
        <charset val="1"/>
      </rPr>
      <t xml:space="preserve">1/100 s </t>
    </r>
    <r>
      <rPr>
        <sz val="10"/>
        <rFont val="Noto Sans CJK SC"/>
        <family val="2"/>
      </rPr>
      <t xml:space="preserve">快门…」—— 云台码率控制已取消，</t>
    </r>
    <r>
      <rPr>
        <sz val="10"/>
        <rFont val="Arial"/>
        <family val="0"/>
        <charset val="1"/>
      </rPr>
      <t xml:space="preserve">16384/I=25 </t>
    </r>
    <r>
      <rPr>
        <sz val="10"/>
        <rFont val="Noto Sans CJK SC"/>
        <family val="2"/>
      </rPr>
      <t xml:space="preserve">这一档不再存在 ⇒ 现场实际值按 </t>
    </r>
    <r>
      <rPr>
        <sz val="10"/>
        <rFont val="Arial"/>
        <family val="0"/>
        <charset val="1"/>
      </rPr>
      <t xml:space="preserve">31% </t>
    </r>
    <r>
      <rPr>
        <sz val="10"/>
        <rFont val="Noto Sans CJK SC"/>
        <family val="2"/>
      </rPr>
      <t xml:space="preserve">计，不是 </t>
    </r>
    <r>
      <rPr>
        <sz val="10"/>
        <rFont val="Arial"/>
        <family val="0"/>
        <charset val="1"/>
      </rPr>
      <t xml:space="preserve">51%</t>
    </r>
    <r>
      <rPr>
        <sz val="10"/>
        <rFont val="Noto Sans CJK SC"/>
        <family val="2"/>
      </rPr>
      <t xml:space="preserve">； 本条结论只会更强，不会变弱（原文对 </t>
    </r>
    <r>
      <rPr>
        <sz val="10"/>
        <rFont val="Arial"/>
        <family val="0"/>
        <charset val="1"/>
      </rPr>
      <t xml:space="preserve">49% </t>
    </r>
    <r>
      <rPr>
        <sz val="10"/>
        <rFont val="Noto Sans CJK SC"/>
        <family val="2"/>
      </rPr>
      <t xml:space="preserve">的成因拆分随该档一并失效，故改为不给固定百分比） 需求方须知：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边转边看清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在本硬件上做不到； 现场操作规程应引导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转到位再看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，而不是期待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转的过程中也清晰</t>
    </r>
    <r>
      <rPr>
        <sz val="10"/>
        <rFont val="Arial"/>
        <family val="0"/>
        <charset val="1"/>
      </rPr>
      <t xml:space="preserve">"</t>
    </r>
  </si>
  <si>
    <t xml:space="preserve">PAY-38</t>
  </si>
  <si>
    <t xml:space="preserve">速度分档</t>
  </si>
  <si>
    <r>
      <rPr>
        <sz val="10"/>
        <rFont val="Noto Sans CJK SC"/>
        <family val="2"/>
      </rPr>
      <t xml:space="preserve">速度分档：因 </t>
    </r>
    <r>
      <rPr>
        <sz val="10"/>
        <rFont val="Arial"/>
        <family val="0"/>
        <charset val="1"/>
      </rPr>
      <t xml:space="preserve">PAY-37</t>
    </r>
    <r>
      <rPr>
        <sz val="10"/>
        <rFont val="Noto Sans CJK SC"/>
        <family val="2"/>
      </rPr>
      <t xml:space="preserve">，高速摇摄的画面价值很低。 云台点动必须提供粗调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细调两档速度，粗调用于换视场、细调用于对准。
 具体速度值待现场手感确认。 待确认期间的实现行为：两档速度做成配置项 </t>
    </r>
    <r>
      <rPr>
        <sz val="10"/>
        <rFont val="Arial"/>
        <family val="0"/>
        <charset val="1"/>
      </rPr>
      <t xml:space="preserve">ptz.speed_coarse / ptz.speed_fine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ONVIF ContinuousMove </t>
    </r>
    <r>
      <rPr>
        <sz val="10"/>
        <rFont val="Noto Sans CJK SC"/>
        <family val="2"/>
      </rPr>
      <t xml:space="preserve">的归一化速度，缺省 </t>
    </r>
    <r>
      <rPr>
        <sz val="10"/>
        <rFont val="Arial"/>
        <family val="0"/>
        <charset val="1"/>
      </rPr>
      <t xml:space="preserve">0.6 / 0.15</t>
    </r>
    <r>
      <rPr>
        <sz val="10"/>
        <rFont val="Noto Sans CJK SC"/>
        <family val="2"/>
      </rPr>
      <t xml:space="preserve">， 明标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无依据的工程初值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）； 档位结构本身不是可选项，只有取值待整定</t>
    </r>
  </si>
  <si>
    <r>
      <rPr>
        <sz val="10"/>
        <rFont val="Noto Sans CJK SC"/>
        <family val="2"/>
      </rPr>
      <t xml:space="preserve">✅ 云端 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速度档</t>
    </r>
  </si>
  <si>
    <t xml:space="preserve">PAY-39</t>
  </si>
  <si>
    <t xml:space="preserve">失败语义</t>
  </si>
  <si>
    <r>
      <rPr>
        <sz val="10"/>
        <rFont val="Noto Sans CJK SC"/>
        <family val="2"/>
      </rPr>
      <t xml:space="preserve">失败语义：因 </t>
    </r>
    <r>
      <rPr>
        <sz val="10"/>
        <rFont val="Arial"/>
        <family val="0"/>
        <charset val="1"/>
      </rPr>
      <t xml:space="preserve">PAY-32①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命令成功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不等于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动作发生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。 云台类指令的回执只承诺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已投递并被相机接受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HMI/</t>
    </r>
    <r>
      <rPr>
        <sz val="10"/>
        <rFont val="Noto Sans CJK SC"/>
        <family val="2"/>
      </rPr>
      <t xml:space="preserve">语音回复用语须与之一致（ 说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已下发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，不说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已就位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</si>
  <si>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✅ 回执只承诺已投递（</t>
    </r>
    <r>
      <rPr>
        <sz val="10"/>
        <rFont val="Arial"/>
        <family val="0"/>
        <charset val="1"/>
      </rPr>
      <t xml:space="preserve">v0.2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</si>
  <si>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F3 / 5.4</t>
    </r>
    <r>
      <rPr>
        <sz val="10"/>
        <rFont val="Noto Sans CJK SC"/>
        <family val="2"/>
      </rPr>
      <t xml:space="preserve">【新】</t>
    </r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直控手感（键盘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手柄直控）</t>
    </r>
  </si>
  <si>
    <t xml:space="preserve">PAY-40</t>
  </si>
  <si>
    <r>
      <rPr>
        <sz val="10"/>
        <rFont val="Noto Sans CJK SC"/>
        <family val="2"/>
      </rPr>
      <t xml:space="preserve">按住方向键连续转动需用自适应保持时间（实测 </t>
    </r>
    <r>
      <rPr>
        <sz val="10"/>
        <rFont val="Arial"/>
        <family val="0"/>
        <charset val="1"/>
      </rPr>
      <t xml:space="preserve">C28.5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</si>
  <si>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按住方向键连续转动需用自适应保持时间（实测 </t>
    </r>
    <r>
      <rPr>
        <sz val="10"/>
        <rFont val="Arial"/>
        <family val="0"/>
        <charset val="1"/>
      </rPr>
      <t xml:space="preserve">C28.5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HOLD_FIRST 0.85 s · HOLD_REPEAT 0.18 s · REPEAT_ARMED 2</t>
    </r>
    <r>
      <rPr>
        <sz val="10"/>
        <rFont val="Noto Sans CJK SC"/>
        <family val="2"/>
      </rPr>
      <t xml:space="preserve">（收到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次重复即判定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真被按住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</si>
  <si>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✅ jog </t>
    </r>
    <r>
      <rPr>
        <sz val="10"/>
        <rFont val="Noto Sans CJK SC"/>
        <family val="2"/>
      </rPr>
      <t xml:space="preserve">续租 </t>
    </r>
    <r>
      <rPr>
        <sz val="10"/>
        <rFont val="Arial"/>
        <family val="0"/>
        <charset val="1"/>
      </rPr>
      <t xml:space="preserve">/ dead-man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真机）</t>
    </r>
  </si>
  <si>
    <t xml:space="preserve">PAY-41</t>
  </si>
  <si>
    <r>
      <rPr>
        <sz val="10"/>
        <rFont val="Arial"/>
        <family val="0"/>
        <charset val="1"/>
      </rPr>
      <t xml:space="preserve">HOLD_FIRST </t>
    </r>
    <r>
      <rPr>
        <sz val="10"/>
        <rFont val="Noto Sans CJK SC"/>
        <family val="2"/>
      </rPr>
      <t xml:space="preserve">必须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终端键盘自动重复的首延迟（约 </t>
    </r>
    <r>
      <rPr>
        <sz val="10"/>
        <rFont val="Arial"/>
        <family val="0"/>
        <charset val="1"/>
      </rPr>
      <t xml:space="preserve">500 ms</t>
    </r>
    <r>
      <rPr>
        <sz val="10"/>
        <rFont val="Noto Sans CJK SC"/>
        <family val="2"/>
      </rPr>
      <t xml:space="preserve">），否则出现「转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转」顿挫</t>
    </r>
  </si>
  <si>
    <r>
      <rPr>
        <sz val="10"/>
        <rFont val="Arial"/>
        <family val="0"/>
        <charset val="1"/>
      </rPr>
      <t xml:space="preserve">HOLD_FIRST </t>
    </r>
    <r>
      <rPr>
        <sz val="10"/>
        <rFont val="Noto Sans CJK SC"/>
        <family val="2"/>
      </rPr>
      <t xml:space="preserve">必须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终端键盘自动重复的首延迟（约 </t>
    </r>
    <r>
      <rPr>
        <sz val="10"/>
        <rFont val="Arial"/>
        <family val="0"/>
        <charset val="1"/>
      </rPr>
      <t xml:space="preserve">500 ms</t>
    </r>
    <r>
      <rPr>
        <sz val="10"/>
        <rFont val="Noto Sans CJK SC"/>
        <family val="2"/>
      </rPr>
      <t xml:space="preserve">），否则出现「转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转」顿挫。 </t>
    </r>
    <r>
      <rPr>
        <sz val="10"/>
        <rFont val="Arial"/>
        <family val="0"/>
        <charset val="1"/>
      </rPr>
      <t xml:space="preserve">v1 </t>
    </r>
    <r>
      <rPr>
        <sz val="10"/>
        <rFont val="Noto Sans CJK SC"/>
        <family val="2"/>
      </rPr>
      <t xml:space="preserve">用固定 </t>
    </r>
    <r>
      <rPr>
        <sz val="10"/>
        <rFont val="Arial"/>
        <family val="0"/>
        <charset val="1"/>
      </rPr>
      <t xml:space="preserve">0.30 s</t>
    </r>
    <r>
      <rPr>
        <sz val="10"/>
        <rFont val="Noto Sans CJK SC"/>
        <family val="2"/>
      </rPr>
      <t xml:space="preserve">（短于首延迟）必然顿挫 —— 这是 </t>
    </r>
    <r>
      <rPr>
        <sz val="10"/>
        <rFont val="Arial"/>
        <family val="0"/>
        <charset val="1"/>
      </rPr>
      <t xml:space="preserve">v1→v2 </t>
    </r>
    <r>
      <rPr>
        <sz val="10"/>
        <rFont val="Noto Sans CJK SC"/>
        <family val="2"/>
      </rPr>
      <t xml:space="preserve">的核心修正。 该参数不是可随意调小的调优项，是硬下界</t>
    </r>
  </si>
  <si>
    <t xml:space="preserve">✅ 同上</t>
  </si>
  <si>
    <t xml:space="preserve">PAY-42</t>
  </si>
  <si>
    <r>
      <rPr>
        <sz val="10"/>
        <rFont val="Noto Sans CJK SC"/>
        <family val="2"/>
      </rPr>
      <t xml:space="preserve">松手须能快停 → 进入重复态后把保持时间缩到 </t>
    </r>
    <r>
      <rPr>
        <sz val="10"/>
        <rFont val="Arial"/>
        <family val="0"/>
        <charset val="1"/>
      </rPr>
      <t xml:space="preserve">HOLD_REPEAT</t>
    </r>
  </si>
  <si>
    <r>
      <rPr>
        <sz val="10"/>
        <rFont val="Noto Sans CJK SC"/>
        <family val="2"/>
      </rPr>
      <t xml:space="preserve">松手须能快停 → 进入重复态后把保持时间缩到 </t>
    </r>
    <r>
      <rPr>
        <sz val="10"/>
        <rFont val="Arial"/>
        <family val="0"/>
        <charset val="1"/>
      </rPr>
      <t xml:space="preserve">HOLD_REPEAT</t>
    </r>
    <r>
      <rPr>
        <sz val="10"/>
        <rFont val="Noto Sans CJK SC"/>
        <family val="2"/>
      </rPr>
      <t xml:space="preserve">。 停止用 </t>
    </r>
    <r>
      <rPr>
        <sz val="10"/>
        <rFont val="Arial"/>
        <family val="0"/>
        <charset val="1"/>
      </rPr>
      <t xml:space="preserve">ONVIF Stop</t>
    </r>
    <r>
      <rPr>
        <sz val="10"/>
        <rFont val="Noto Sans CJK SC"/>
        <family val="2"/>
      </rPr>
      <t xml:space="preserve">，并计入 </t>
    </r>
    <r>
      <rPr>
        <sz val="10"/>
        <rFont val="Arial"/>
        <family val="0"/>
        <charset val="1"/>
      </rPr>
      <t xml:space="preserve">17 Hz </t>
    </r>
    <r>
      <rPr>
        <sz val="10"/>
        <rFont val="Noto Sans CJK SC"/>
        <family val="2"/>
      </rPr>
      <t xml:space="preserve">预算（</t>
    </r>
    <r>
      <rPr>
        <sz val="10"/>
        <rFont val="Arial"/>
        <family val="0"/>
        <charset val="1"/>
      </rPr>
      <t xml:space="preserve">PAY-31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</si>
  <si>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✅ 云端键盘直控契约 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真机打通（</t>
    </r>
    <r>
      <rPr>
        <sz val="10"/>
        <rFont val="Arial"/>
        <family val="0"/>
        <charset val="1"/>
      </rPr>
      <t xml:space="preserve">10-28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</si>
  <si>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F4 / 6.1 </t>
    </r>
    <r>
      <rPr>
        <sz val="10"/>
        <rFont val="Noto Sans CJK SC"/>
        <family val="2"/>
      </rPr>
      <t xml:space="preserve">现有能力（</t>
    </r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已实现）</t>
    </r>
  </si>
  <si>
    <t xml:space="preserve">PER-01</t>
  </si>
  <si>
    <r>
      <rPr>
        <sz val="10"/>
        <rFont val="Noto Sans CJK SC"/>
        <family val="2"/>
      </rPr>
      <t xml:space="preserve">感知系统融合相机与激光雷达数据，运行 </t>
    </r>
    <r>
      <rPr>
        <sz val="10"/>
        <rFont val="Arial"/>
        <family val="0"/>
        <charset val="1"/>
      </rPr>
      <t xml:space="preserve">YOLOv11n </t>
    </r>
    <r>
      <rPr>
        <sz val="10"/>
        <rFont val="Noto Sans CJK SC"/>
        <family val="2"/>
      </rPr>
      <t xml:space="preserve">推理，由 </t>
    </r>
    <r>
      <rPr>
        <sz val="10"/>
        <rFont val="Arial"/>
        <family val="0"/>
        <charset val="1"/>
      </rPr>
      <t xml:space="preserve">C++ ROS 2 </t>
    </r>
    <r>
      <rPr>
        <sz val="10"/>
        <rFont val="Noto Sans CJK SC"/>
        <family val="2"/>
      </rPr>
      <t xml:space="preserve">节点实现</t>
    </r>
  </si>
  <si>
    <r>
      <rPr>
        <sz val="10"/>
        <rFont val="Noto Sans CJK SC"/>
        <family val="2"/>
      </rPr>
      <t xml:space="preserve">【感知团队自测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联调】感知侧提交自测报告；联调核对 </t>
    </r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感知输入计数与拒收、目标世界坐标；可疑判定需接线后真机验证。</t>
    </r>
  </si>
  <si>
    <t xml:space="preserve">未核：感知团队负责，在单独测试</t>
  </si>
  <si>
    <t xml:space="preserve">PER-02</t>
  </si>
  <si>
    <t xml:space="preserve">每帧发布所有目标物，字段包含</t>
  </si>
  <si>
    <r>
      <rPr>
        <sz val="10"/>
        <rFont val="Noto Sans CJK SC"/>
        <family val="2"/>
      </rPr>
      <t xml:space="preserve">每帧发布所有目标物，字段包含：
目标物名称（</t>
    </r>
    <r>
      <rPr>
        <sz val="10"/>
        <rFont val="Arial"/>
        <family val="0"/>
        <charset val="1"/>
      </rPr>
      <t xml:space="preserve">class</t>
    </r>
    <r>
      <rPr>
        <sz val="10"/>
        <rFont val="Noto Sans CJK SC"/>
        <family val="2"/>
      </rPr>
      <t xml:space="preserve">） </t>
    </r>
    <r>
      <rPr>
        <sz val="10"/>
        <rFont val="Arial"/>
        <family val="0"/>
        <charset val="1"/>
      </rPr>
      <t xml:space="preserve">· bbox / mask</t>
    </r>
    <r>
      <rPr>
        <sz val="10"/>
        <rFont val="Noto Sans CJK SC"/>
        <family val="2"/>
      </rPr>
      <t xml:space="preserve">（多边形）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置信度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运动速度 </t>
    </r>
    <r>
      <rPr>
        <sz val="10"/>
        <rFont val="Arial"/>
        <family val="0"/>
        <charset val="1"/>
      </rPr>
      <t xml:space="preserve">· track_id · </t>
    </r>
    <r>
      <rPr>
        <sz val="10"/>
        <rFont val="Noto Sans CJK SC"/>
        <family val="2"/>
      </rPr>
      <t xml:space="preserve">深度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距离</t>
    </r>
  </si>
  <si>
    <t xml:space="preserve">PER-03</t>
  </si>
  <si>
    <r>
      <rPr>
        <sz val="10"/>
        <rFont val="Noto Sans CJK SC"/>
        <family val="2"/>
      </rPr>
      <t xml:space="preserve">多目标跟踪（</t>
    </r>
    <r>
      <rPr>
        <sz val="10"/>
        <rFont val="Arial"/>
        <family val="0"/>
        <charset val="1"/>
      </rPr>
      <t xml:space="preserve">MOT</t>
    </r>
    <r>
      <rPr>
        <sz val="10"/>
        <rFont val="Noto Sans CJK SC"/>
        <family val="2"/>
      </rPr>
      <t xml:space="preserve">）已实现，</t>
    </r>
    <r>
      <rPr>
        <sz val="10"/>
        <rFont val="Arial"/>
        <family val="0"/>
        <charset val="1"/>
      </rPr>
      <t xml:space="preserve">track_id </t>
    </r>
    <r>
      <rPr>
        <sz val="10"/>
        <rFont val="Noto Sans CJK SC"/>
        <family val="2"/>
      </rPr>
      <t xml:space="preserve">可用 —— 这是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模式退出判定的基础</t>
    </r>
  </si>
  <si>
    <t xml:space="preserve">PER-04</t>
  </si>
  <si>
    <r>
      <rPr>
        <sz val="10"/>
        <rFont val="Noto Sans CJK SC"/>
        <family val="2"/>
      </rPr>
      <t xml:space="preserve">当前帧率 </t>
    </r>
    <r>
      <rPr>
        <sz val="10"/>
        <rFont val="Arial"/>
        <family val="0"/>
        <charset val="1"/>
      </rPr>
      <t xml:space="preserve">27–30 fps</t>
    </r>
  </si>
  <si>
    <t xml:space="preserve">PER-05</t>
  </si>
  <si>
    <r>
      <rPr>
        <sz val="10"/>
        <rFont val="Noto Sans CJK SC"/>
        <family val="2"/>
      </rPr>
      <t xml:space="preserve">数据由 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订阅</t>
    </r>
  </si>
  <si>
    <r>
      <rPr>
        <sz val="10"/>
        <rFont val="Noto Sans CJK SC"/>
        <family val="2"/>
      </rPr>
      <t xml:space="preserve">数据由 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订阅；云端计算机也订阅，在解码播放视频的同时叠加可视化</t>
    </r>
  </si>
  <si>
    <t xml:space="preserve">PER-06</t>
  </si>
  <si>
    <r>
      <rPr>
        <sz val="10"/>
        <rFont val="Arial"/>
        <family val="0"/>
        <charset val="1"/>
      </rPr>
      <t xml:space="preserve">Gemini 336L </t>
    </r>
    <r>
      <rPr>
        <sz val="10"/>
        <rFont val="Noto Sans CJK SC"/>
        <family val="2"/>
      </rPr>
      <t xml:space="preserve">提供 </t>
    </r>
    <r>
      <rPr>
        <sz val="10"/>
        <rFont val="Arial"/>
        <family val="0"/>
        <charset val="1"/>
      </rPr>
      <t xml:space="preserve">metric </t>
    </r>
    <r>
      <rPr>
        <sz val="10"/>
        <rFont val="Noto Sans CJK SC"/>
        <family val="2"/>
      </rPr>
      <t xml:space="preserve">深度（带真实尺度）</t>
    </r>
  </si>
  <si>
    <r>
      <rPr>
        <sz val="10"/>
        <rFont val="Arial"/>
        <family val="0"/>
        <charset val="1"/>
      </rPr>
      <t xml:space="preserve">F4 / 6.2 </t>
    </r>
    <r>
      <rPr>
        <sz val="10"/>
        <rFont val="Noto Sans CJK SC"/>
        <family val="2"/>
      </rPr>
      <t xml:space="preserve">需补充的能力</t>
    </r>
  </si>
  <si>
    <t xml:space="preserve">PER-10</t>
  </si>
  <si>
    <r>
      <rPr>
        <sz val="10"/>
        <rFont val="Noto Sans CJK SC"/>
        <family val="2"/>
      </rPr>
      <t xml:space="preserve">仍缺 </t>
    </r>
    <r>
      <rPr>
        <sz val="10"/>
        <rFont val="Arial"/>
        <family val="0"/>
        <charset val="1"/>
      </rPr>
      <t xml:space="preserve">world_pos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WGS84/UTM </t>
    </r>
    <r>
      <rPr>
        <sz val="10"/>
        <rFont val="Noto Sans CJK SC"/>
        <family val="2"/>
      </rPr>
      <t xml:space="preserve">世界坐标），它是三项需求的共同前提</t>
    </r>
  </si>
  <si>
    <r>
      <rPr>
        <sz val="10"/>
        <rFont val="Noto Sans CJK SC"/>
        <family val="2"/>
      </rPr>
      <t xml:space="preserve">仍缺 </t>
    </r>
    <r>
      <rPr>
        <sz val="10"/>
        <rFont val="Arial"/>
        <family val="0"/>
        <charset val="1"/>
      </rPr>
      <t xml:space="preserve">world_pos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WGS84/UTM </t>
    </r>
    <r>
      <rPr>
        <sz val="10"/>
        <rFont val="Noto Sans CJK SC"/>
        <family val="2"/>
      </rPr>
      <t xml:space="preserve">世界坐标），它是三项需求的共同前提：
①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模式退出判定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目标退出电子围栏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VOI-44</t>
    </r>
    <r>
      <rPr>
        <sz val="10"/>
        <rFont val="Noto Sans CJK SC"/>
        <family val="2"/>
      </rPr>
      <t xml:space="preserve">）
② 目标导向跟随的距离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方位解算（</t>
    </r>
    <r>
      <rPr>
        <sz val="10"/>
        <rFont val="Arial"/>
        <family val="0"/>
        <charset val="1"/>
      </rPr>
      <t xml:space="preserve">NAV-50b</t>
    </r>
    <r>
      <rPr>
        <sz val="10"/>
        <rFont val="Noto Sans CJK SC"/>
        <family val="2"/>
      </rPr>
      <t xml:space="preserve">）
③ 云端地图上标注目标位置</t>
    </r>
  </si>
  <si>
    <t xml:space="preserve">未核：感知团队负责</t>
  </si>
  <si>
    <t xml:space="preserve">PER-11</t>
  </si>
  <si>
    <r>
      <rPr>
        <sz val="10"/>
        <rFont val="Arial"/>
        <family val="0"/>
        <charset val="1"/>
      </rPr>
      <t xml:space="preserve">world_pos </t>
    </r>
    <r>
      <rPr>
        <sz val="10"/>
        <rFont val="Noto Sans CJK SC"/>
        <family val="2"/>
      </rPr>
      <t xml:space="preserve">应在 </t>
    </r>
    <r>
      <rPr>
        <sz val="10"/>
        <rFont val="Arial"/>
        <family val="0"/>
        <charset val="1"/>
      </rPr>
      <t xml:space="preserve">perception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C++</t>
    </r>
    <r>
      <rPr>
        <sz val="10"/>
        <rFont val="Noto Sans CJK SC"/>
        <family val="2"/>
      </rPr>
      <t xml:space="preserve">）中计算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</si>
  <si>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world_pos </t>
    </r>
    <r>
      <rPr>
        <sz val="10"/>
        <rFont val="Noto Sans CJK SC"/>
        <family val="2"/>
      </rPr>
      <t xml:space="preserve">应在 </t>
    </r>
    <r>
      <rPr>
        <sz val="10"/>
        <rFont val="Arial"/>
        <family val="0"/>
        <charset val="1"/>
      </rPr>
      <t xml:space="preserve">perception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C++</t>
    </r>
    <r>
      <rPr>
        <sz val="10"/>
        <rFont val="Noto Sans CJK SC"/>
        <family val="2"/>
      </rPr>
      <t xml:space="preserve">）中计算：该节点已有 </t>
    </r>
    <r>
      <rPr>
        <sz val="10"/>
        <rFont val="Arial"/>
        <family val="0"/>
        <charset val="1"/>
      </rPr>
      <t xml:space="preserve">detection + depth</t>
    </r>
    <r>
      <rPr>
        <sz val="10"/>
        <rFont val="Noto Sans CJK SC"/>
        <family val="2"/>
      </rPr>
      <t xml:space="preserve">，只需再订阅 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位姿即可换算。一次计算、两个消费者（</t>
    </r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跟随、</t>
    </r>
    <r>
      <rPr>
        <sz val="10"/>
        <rFont val="Arial"/>
        <family val="0"/>
        <charset val="1"/>
      </rPr>
      <t xml:space="preserve">P2 </t>
    </r>
    <r>
      <rPr>
        <sz val="10"/>
        <rFont val="Noto Sans CJK SC"/>
        <family val="2"/>
      </rPr>
      <t xml:space="preserve">围栏判定）共用，避免两侧算出不一致结果</t>
    </r>
  </si>
  <si>
    <t xml:space="preserve">PER-12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</si>
  <si>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目标消失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判定需设确认窗口，单帧漏检（遮挡、转身）不得判为消失，否则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模式会剧烈抖动进出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</si>
  <si>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目标消失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判定需设确认窗口，单帧漏检（遮挡、转身）不得判为消失，否则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模式会剧烈抖动进出</t>
    </r>
  </si>
  <si>
    <t xml:space="preserve">PER-13</t>
  </si>
  <si>
    <r>
      <rPr>
        <sz val="10"/>
        <rFont val="Noto Sans CJK SC"/>
        <family val="2"/>
      </rPr>
      <t xml:space="preserve">待确认：帧率与延迟是两回事。</t>
    </r>
    <r>
      <rPr>
        <sz val="10"/>
        <rFont val="Arial"/>
        <family val="0"/>
        <charset val="1"/>
      </rPr>
      <t xml:space="preserve">27–30 fps </t>
    </r>
    <r>
      <rPr>
        <sz val="10"/>
        <rFont val="Noto Sans CJK SC"/>
        <family val="2"/>
      </rPr>
      <t xml:space="preserve">不等于低延迟，流水线可能 </t>
    </r>
    <r>
      <rPr>
        <sz val="10"/>
        <rFont val="Arial"/>
        <family val="0"/>
        <charset val="1"/>
      </rPr>
      <t xml:space="preserve">30 fps </t>
    </r>
    <r>
      <rPr>
        <sz val="10"/>
        <rFont val="Noto Sans CJK SC"/>
        <family val="2"/>
      </rPr>
      <t xml:space="preserve">运行却有 </t>
    </r>
    <r>
      <rPr>
        <sz val="10"/>
        <rFont val="Arial"/>
        <family val="0"/>
        <charset val="1"/>
      </rPr>
      <t xml:space="preserve">100 ms </t>
    </r>
    <r>
      <rPr>
        <sz val="10"/>
        <rFont val="Noto Sans CJK SC"/>
        <family val="2"/>
      </rPr>
      <t xml:space="preserve">延迟。 按 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后的 </t>
    </r>
    <r>
      <rPr>
        <sz val="10"/>
        <rFont val="Arial"/>
        <family val="0"/>
        <charset val="1"/>
      </rPr>
      <t xml:space="preserve">2.0 m/s </t>
    </r>
    <r>
      <rPr>
        <sz val="10"/>
        <rFont val="Noto Sans CJK SC"/>
        <family val="2"/>
      </rPr>
      <t xml:space="preserve">重算：</t>
    </r>
    <r>
      <rPr>
        <sz val="10"/>
        <rFont val="Arial"/>
        <family val="0"/>
        <charset val="1"/>
      </rPr>
      <t xml:space="preserve">100 ms = 0.20 m</t>
    </r>
    <r>
      <rPr>
        <sz val="10"/>
        <rFont val="Noto Sans CJK SC"/>
        <family val="2"/>
      </rPr>
      <t xml:space="preserve">（ 作废）。
 不要因为数字变小就降低本项优先级 —— 感知延迟直接进 </t>
    </r>
    <r>
      <rPr>
        <sz val="10"/>
        <rFont val="Arial"/>
        <family val="0"/>
        <charset val="1"/>
      </rPr>
      <t xml:space="preserve">§3.8.2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t_</t>
    </r>
    <r>
      <rPr>
        <sz val="10"/>
        <rFont val="Noto Sans CJK SC"/>
        <family val="2"/>
      </rPr>
      <t xml:space="preserve">延迟（现取 </t>
    </r>
    <r>
      <rPr>
        <sz val="10"/>
        <rFont val="Arial"/>
        <family val="0"/>
        <charset val="1"/>
      </rPr>
      <t xml:space="preserve">0.4 s</t>
    </r>
    <r>
      <rPr>
        <sz val="10"/>
        <rFont val="Noto Sans CJK SC"/>
        <family val="2"/>
      </rPr>
      <t xml:space="preserve">，其中我方检测占 </t>
    </r>
    <r>
      <rPr>
        <sz val="10"/>
        <rFont val="Arial"/>
        <family val="0"/>
        <charset val="1"/>
      </rPr>
      <t xml:space="preserve">200 ms</t>
    </r>
    <r>
      <rPr>
        <sz val="10"/>
        <rFont val="Noto Sans CJK SC"/>
        <family val="2"/>
      </rPr>
      <t xml:space="preserve">），而 </t>
    </r>
    <r>
      <rPr>
        <sz val="10"/>
        <rFont val="Arial"/>
        <family val="0"/>
        <charset val="1"/>
      </rPr>
      <t xml:space="preserve">d(2.0) = 1.60 m </t>
    </r>
    <r>
      <rPr>
        <sz val="10"/>
        <rFont val="Noto Sans CJK SC"/>
        <family val="2"/>
      </rPr>
      <t xml:space="preserve">已经刹不住 </t>
    </r>
    <r>
      <rPr>
        <sz val="10"/>
        <rFont val="Arial"/>
        <family val="0"/>
        <charset val="1"/>
      </rPr>
      <t xml:space="preserve">1 m </t>
    </r>
    <r>
      <rPr>
        <sz val="10"/>
        <rFont val="Noto Sans CJK SC"/>
        <family val="2"/>
      </rPr>
      <t xml:space="preserve">安全距离；感知延迟每多 </t>
    </r>
    <r>
      <rPr>
        <sz val="10"/>
        <rFont val="Arial"/>
        <family val="0"/>
        <charset val="1"/>
      </rPr>
      <t xml:space="preserve">100 ms</t>
    </r>
    <r>
      <rPr>
        <sz val="10"/>
        <rFont val="Noto Sans CJK SC"/>
        <family val="2"/>
      </rPr>
      <t xml:space="preserve">，停车距离就多 </t>
    </r>
    <r>
      <rPr>
        <sz val="10"/>
        <rFont val="Arial"/>
        <family val="0"/>
        <charset val="1"/>
      </rPr>
      <t xml:space="preserve">0.20 m</t>
    </r>
    <r>
      <rPr>
        <sz val="10"/>
        <rFont val="Noto Sans CJK SC"/>
        <family val="2"/>
      </rPr>
      <t xml:space="preserve">。需实测从曝光到 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拿到数据的时间，见 </t>
    </r>
    <r>
      <rPr>
        <sz val="10"/>
        <rFont val="Arial"/>
        <family val="0"/>
        <charset val="1"/>
      </rPr>
      <t xml:space="preserve">§21 </t>
    </r>
    <r>
      <rPr>
        <sz val="10"/>
        <rFont val="Noto Sans CJK SC"/>
        <family val="2"/>
      </rPr>
      <t xml:space="preserve">测试 </t>
    </r>
    <r>
      <rPr>
        <sz val="10"/>
        <rFont val="Arial"/>
        <family val="0"/>
        <charset val="1"/>
      </rPr>
      <t xml:space="preserve">T7/T8</t>
    </r>
  </si>
  <si>
    <t xml:space="preserve">PER-14</t>
  </si>
  <si>
    <r>
      <rPr>
        <sz val="10"/>
        <rFont val="Noto Sans CJK SC"/>
        <family val="2"/>
      </rPr>
      <t xml:space="preserve">待确认：</t>
    </r>
    <r>
      <rPr>
        <sz val="10"/>
        <rFont val="Arial"/>
        <family val="0"/>
        <charset val="1"/>
      </rPr>
      <t xml:space="preserve">27–30 fps </t>
    </r>
    <r>
      <rPr>
        <sz val="10"/>
        <rFont val="Noto Sans CJK SC"/>
        <family val="2"/>
      </rPr>
      <t xml:space="preserve">是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空闲时还是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满载时的数字？见测试 </t>
    </r>
    <r>
      <rPr>
        <sz val="10"/>
        <rFont val="Arial"/>
        <family val="0"/>
        <charset val="1"/>
      </rPr>
      <t xml:space="preserve">T2</t>
    </r>
  </si>
  <si>
    <r>
      <rPr>
        <sz val="10"/>
        <rFont val="Arial"/>
        <family val="0"/>
        <charset val="1"/>
      </rPr>
      <t xml:space="preserve">F4 / 6.3 </t>
    </r>
    <r>
      <rPr>
        <sz val="10"/>
        <rFont val="Noto Sans CJK SC"/>
        <family val="2"/>
      </rPr>
      <t xml:space="preserve">【新】自由空间与三传感器分工</t>
    </r>
  </si>
  <si>
    <t xml:space="preserve">PER-20</t>
  </si>
  <si>
    <r>
      <rPr>
        <sz val="10"/>
        <rFont val="Noto Sans CJK SC"/>
        <family val="2"/>
      </rPr>
      <t xml:space="preserve">底盘自带前后 </t>
    </r>
    <r>
      <rPr>
        <sz val="10"/>
        <rFont val="Arial"/>
        <family val="0"/>
        <charset val="1"/>
      </rPr>
      <t xml:space="preserve">LiDAR</t>
    </r>
    <r>
      <rPr>
        <sz val="10"/>
        <rFont val="Noto Sans CJK SC"/>
        <family val="2"/>
      </rPr>
      <t xml:space="preserve">，可订阅</t>
    </r>
  </si>
  <si>
    <r>
      <rPr>
        <sz val="10"/>
        <rFont val="Arial"/>
        <family val="0"/>
        <charset val="1"/>
      </rPr>
      <t xml:space="preserve">✅/🟡 </t>
    </r>
    <r>
      <rPr>
        <sz val="10"/>
        <rFont val="Noto Sans CJK SC"/>
        <family val="2"/>
      </rPr>
      <t xml:space="preserve">感知 </t>
    </r>
    <r>
      <rPr>
        <sz val="10"/>
        <rFont val="Arial"/>
        <family val="0"/>
        <charset val="1"/>
      </rPr>
      <t xml:space="preserve">-&gt; p1 </t>
    </r>
    <r>
      <rPr>
        <sz val="10"/>
        <rFont val="Noto Sans CJK SC"/>
        <family val="2"/>
      </rPr>
      <t xml:space="preserve">实时数据通路在流动（</t>
    </r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感知输入计数无拒收）；自由空间语义未核</t>
    </r>
  </si>
  <si>
    <t xml:space="preserve">PER-21</t>
  </si>
  <si>
    <r>
      <rPr>
        <sz val="10"/>
        <rFont val="Noto Sans CJK SC"/>
        <family val="2"/>
      </rPr>
      <t xml:space="preserve">三传感器分工（详细论证见 </t>
    </r>
    <r>
      <rPr>
        <sz val="10"/>
        <rFont val="Arial"/>
        <family val="0"/>
        <charset val="1"/>
      </rPr>
      <t xml:space="preserve">§3.8.3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</si>
  <si>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三传感器分工（详细论证见 </t>
    </r>
    <r>
      <rPr>
        <sz val="10"/>
        <rFont val="Arial"/>
        <family val="0"/>
        <charset val="1"/>
      </rPr>
      <t xml:space="preserve">§3.8.3</t>
    </r>
    <r>
      <rPr>
        <sz val="10"/>
        <rFont val="Noto Sans CJK SC"/>
        <family val="2"/>
      </rPr>
      <t xml:space="preserve">）：
</t>
    </r>
    <r>
      <rPr>
        <sz val="10"/>
        <rFont val="Arial"/>
        <family val="0"/>
        <charset val="1"/>
      </rPr>
      <t xml:space="preserve">LiDAR → </t>
    </r>
    <r>
      <rPr>
        <sz val="10"/>
        <rFont val="Noto Sans CJK SC"/>
        <family val="2"/>
      </rPr>
      <t xml:space="preserve">几何自由空间（</t>
    </r>
    <r>
      <rPr>
        <sz val="10"/>
        <rFont val="Arial"/>
        <family val="0"/>
        <charset val="1"/>
      </rPr>
      <t xml:space="preserve">class-agnostic</t>
    </r>
    <r>
      <rPr>
        <sz val="10"/>
        <rFont val="Noto Sans CJK SC"/>
        <family val="2"/>
      </rPr>
      <t xml:space="preserve">，远距离）→ 决定速度
</t>
    </r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稠密深度 → 近场（≤</t>
    </r>
    <r>
      <rPr>
        <sz val="10"/>
        <rFont val="Arial"/>
        <family val="0"/>
        <charset val="1"/>
      </rPr>
      <t xml:space="preserve">10 m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class-agnostic </t>
    </r>
    <r>
      <rPr>
        <sz val="10"/>
        <rFont val="Noto Sans CJK SC"/>
        <family val="2"/>
      </rPr>
      <t xml:space="preserve">占用校验 → 兜底
</t>
    </r>
    <r>
      <rPr>
        <sz val="10"/>
        <rFont val="Arial"/>
        <family val="0"/>
        <charset val="1"/>
      </rPr>
      <t xml:space="preserve">YOLOv11n → </t>
    </r>
    <r>
      <rPr>
        <sz val="10"/>
        <rFont val="Noto Sans CJK SC"/>
        <family val="2"/>
      </rPr>
      <t xml:space="preserve">语义理解（是不是人、要不要报警）→ 决定行为</t>
    </r>
  </si>
  <si>
    <t xml:space="preserve">PER-22</t>
  </si>
  <si>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稠密深度图的走廊占用检查成本几乎为零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</si>
  <si>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稠密深度图的走廊占用检查成本几乎为零：数据已在输出，当前仅使用检测框内的部分</t>
    </r>
  </si>
  <si>
    <t xml:space="preserve">PER-23</t>
  </si>
  <si>
    <r>
      <rPr>
        <sz val="10"/>
        <rFont val="Noto Sans CJK SC"/>
        <family val="2"/>
      </rPr>
      <t xml:space="preserve">待确认：</t>
    </r>
    <r>
      <rPr>
        <sz val="10"/>
        <rFont val="Arial"/>
        <family val="0"/>
        <charset val="1"/>
      </rPr>
      <t xml:space="preserve">LiDAR </t>
    </r>
    <r>
      <rPr>
        <sz val="10"/>
        <rFont val="Noto Sans CJK SC"/>
        <family val="2"/>
      </rPr>
      <t xml:space="preserve">型号、探测距离、水平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垂直 </t>
    </r>
    <r>
      <rPr>
        <sz val="10"/>
        <rFont val="Arial"/>
        <family val="0"/>
        <charset val="1"/>
      </rPr>
      <t xml:space="preserve">FOV</t>
    </r>
    <r>
      <rPr>
        <sz val="10"/>
        <rFont val="Noto Sans CJK SC"/>
        <family val="2"/>
      </rPr>
      <t xml:space="preserve">、点频、最小可检测目标尺寸 —— 决定系统速度上限</t>
    </r>
  </si>
  <si>
    <t xml:space="preserve">PER-24</t>
  </si>
  <si>
    <r>
      <rPr>
        <sz val="10"/>
        <rFont val="Noto Sans CJK SC"/>
        <family val="2"/>
      </rPr>
      <t xml:space="preserve">目标距离超出 </t>
    </r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量程（约 </t>
    </r>
    <r>
      <rPr>
        <sz val="10"/>
        <rFont val="Arial"/>
        <family val="0"/>
        <charset val="1"/>
      </rPr>
      <t xml:space="preserve">10 m</t>
    </r>
    <r>
      <rPr>
        <sz val="10"/>
        <rFont val="Noto Sans CJK SC"/>
        <family val="2"/>
      </rPr>
      <t xml:space="preserve">）后距离估计失效</t>
    </r>
  </si>
  <si>
    <r>
      <rPr>
        <sz val="10"/>
        <rFont val="Noto Sans CJK SC"/>
        <family val="2"/>
      </rPr>
      <t xml:space="preserve">目标距离超出 </t>
    </r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量程（约 </t>
    </r>
    <r>
      <rPr>
        <sz val="10"/>
        <rFont val="Arial"/>
        <family val="0"/>
        <charset val="1"/>
      </rPr>
      <t xml:space="preserve">10 m</t>
    </r>
    <r>
      <rPr>
        <sz val="10"/>
        <rFont val="Noto Sans CJK SC"/>
        <family val="2"/>
      </rPr>
      <t xml:space="preserve">）后距离估计失效。可选补充：单目深度估计（按需触发，非常驻）</t>
    </r>
  </si>
  <si>
    <r>
      <rPr>
        <sz val="10"/>
        <rFont val="Arial"/>
        <family val="0"/>
        <charset val="1"/>
      </rPr>
      <t xml:space="preserve">F4 / 6.4 </t>
    </r>
    <r>
      <rPr>
        <sz val="10"/>
        <rFont val="Noto Sans CJK SC"/>
        <family val="2"/>
      </rPr>
      <t xml:space="preserve">【新】话题分级</t>
    </r>
  </si>
  <si>
    <t xml:space="preserve">PER-30</t>
  </si>
  <si>
    <r>
      <rPr>
        <sz val="10"/>
        <rFont val="Noto Sans CJK SC"/>
        <family val="2"/>
      </rPr>
      <t xml:space="preserve">区分 </t>
    </r>
    <r>
      <rPr>
        <sz val="10"/>
        <rFont val="Arial"/>
        <family val="0"/>
        <charset val="1"/>
      </rPr>
      <t xml:space="preserve">RT </t>
    </r>
    <r>
      <rPr>
        <sz val="10"/>
        <rFont val="Noto Sans CJK SC"/>
        <family val="2"/>
      </rPr>
      <t xml:space="preserve">话题 与 观测话题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</si>
  <si>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区分 </t>
    </r>
    <r>
      <rPr>
        <sz val="10"/>
        <rFont val="Arial"/>
        <family val="0"/>
        <charset val="1"/>
      </rPr>
      <t xml:space="preserve">RT </t>
    </r>
    <r>
      <rPr>
        <sz val="10"/>
        <rFont val="Noto Sans CJK SC"/>
        <family val="2"/>
      </rPr>
      <t xml:space="preserve">话题 与 观测话题：</t>
    </r>
  </si>
  <si>
    <t xml:space="preserve">PER-31</t>
  </si>
  <si>
    <r>
      <rPr>
        <sz val="10"/>
        <rFont val="Arial"/>
        <family val="0"/>
        <charset val="1"/>
      </rPr>
      <t xml:space="preserve">mask </t>
    </r>
    <r>
      <rPr>
        <sz val="10"/>
        <rFont val="Noto Sans CJK SC"/>
        <family val="2"/>
      </rPr>
      <t xml:space="preserve">为多边形（非位图），单帧体积约数 </t>
    </r>
    <r>
      <rPr>
        <sz val="10"/>
        <rFont val="Arial"/>
        <family val="0"/>
        <charset val="1"/>
      </rPr>
      <t xml:space="preserve">KB</t>
    </r>
    <r>
      <rPr>
        <sz val="10"/>
        <rFont val="Noto Sans CJK SC"/>
        <family val="2"/>
      </rPr>
      <t xml:space="preserve">，带宽压力不大</t>
    </r>
  </si>
  <si>
    <r>
      <rPr>
        <sz val="10"/>
        <rFont val="Arial"/>
        <family val="0"/>
        <charset val="1"/>
      </rPr>
      <t xml:space="preserve">mask </t>
    </r>
    <r>
      <rPr>
        <sz val="10"/>
        <rFont val="Noto Sans CJK SC"/>
        <family val="2"/>
      </rPr>
      <t xml:space="preserve">为多边形（非位图），单帧体积约数 </t>
    </r>
    <r>
      <rPr>
        <sz val="10"/>
        <rFont val="Arial"/>
        <family val="0"/>
        <charset val="1"/>
      </rPr>
      <t xml:space="preserve">KB</t>
    </r>
    <r>
      <rPr>
        <sz val="10"/>
        <rFont val="Noto Sans CJK SC"/>
        <family val="2"/>
      </rPr>
      <t xml:space="preserve">，带宽压力不大。此项由 </t>
    </r>
    <r>
      <rPr>
        <sz val="10"/>
        <rFont val="Arial"/>
        <family val="0"/>
        <charset val="1"/>
      </rPr>
      <t xml:space="preserve">v0.1 </t>
    </r>
    <r>
      <rPr>
        <sz val="10"/>
        <rFont val="Noto Sans CJK SC"/>
        <family val="2"/>
      </rPr>
      <t xml:space="preserve">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必须拆分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降级为优化项（</t>
    </r>
    <r>
      <rPr>
        <sz val="10"/>
        <rFont val="Arial"/>
        <family val="0"/>
        <charset val="1"/>
      </rPr>
      <t xml:space="preserve">20 Hz </t>
    </r>
    <r>
      <rPr>
        <sz val="10"/>
        <rFont val="Noto Sans CJK SC"/>
        <family val="2"/>
      </rPr>
      <t xml:space="preserve">下可省 </t>
    </r>
    <r>
      <rPr>
        <sz val="10"/>
        <rFont val="Arial"/>
        <family val="0"/>
        <charset val="1"/>
      </rPr>
      <t xml:space="preserve">Python </t>
    </r>
    <r>
      <rPr>
        <sz val="10"/>
        <rFont val="Noto Sans CJK SC"/>
        <family val="2"/>
      </rPr>
      <t xml:space="preserve">反序列化开销）</t>
    </r>
  </si>
  <si>
    <r>
      <rPr>
        <sz val="10"/>
        <rFont val="Arial"/>
        <family val="0"/>
        <charset val="1"/>
      </rPr>
      <t xml:space="preserve">F4 / 6.5 </t>
    </r>
    <r>
      <rPr>
        <sz val="10"/>
        <rFont val="Noto Sans CJK SC"/>
        <family val="2"/>
      </rPr>
      <t xml:space="preserve">可疑判定策略</t>
    </r>
  </si>
  <si>
    <t xml:space="preserve">PER-35</t>
  </si>
  <si>
    <r>
      <rPr>
        <sz val="10"/>
        <rFont val="Arial"/>
        <family val="0"/>
        <charset val="1"/>
      </rPr>
      <t xml:space="preserve">YOLOv11n </t>
    </r>
    <r>
      <rPr>
        <sz val="10"/>
        <rFont val="Noto Sans CJK SC"/>
        <family val="2"/>
      </rPr>
      <t xml:space="preserve">仅输出 </t>
    </r>
    <r>
      <rPr>
        <sz val="10"/>
        <rFont val="Arial"/>
        <family val="0"/>
        <charset val="1"/>
      </rPr>
      <t xml:space="preserve">person </t>
    </r>
    <r>
      <rPr>
        <sz val="10"/>
        <rFont val="Noto Sans CJK SC"/>
        <family val="2"/>
      </rPr>
      <t xml:space="preserve">类别，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可疑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是策略判断而非模型输出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</si>
  <si>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YOLOv11n </t>
    </r>
    <r>
      <rPr>
        <sz val="10"/>
        <rFont val="Noto Sans CJK SC"/>
        <family val="2"/>
      </rPr>
      <t xml:space="preserve">仅输出 </t>
    </r>
    <r>
      <rPr>
        <sz val="10"/>
        <rFont val="Arial"/>
        <family val="0"/>
        <charset val="1"/>
      </rPr>
      <t xml:space="preserve">person </t>
    </r>
    <r>
      <rPr>
        <sz val="10"/>
        <rFont val="Noto Sans CJK SC"/>
        <family val="2"/>
      </rPr>
      <t xml:space="preserve">类别，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可疑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是策略判断而非模型输出</t>
    </r>
  </si>
  <si>
    <r>
      <rPr>
        <sz val="10"/>
        <rFont val="Noto Sans CJK SC"/>
        <family val="2"/>
      </rPr>
      <t xml:space="preserve">❌ 可疑判定规则引擎（</t>
    </r>
    <r>
      <rPr>
        <sz val="10"/>
        <rFont val="Arial"/>
        <family val="0"/>
        <charset val="1"/>
      </rPr>
      <t xml:space="preserve">p2_core/suspicion</t>
    </r>
    <r>
      <rPr>
        <sz val="10"/>
        <rFont val="Noto Sans CJK SC"/>
        <family val="2"/>
      </rPr>
      <t xml:space="preserve">）未接线</t>
    </r>
  </si>
  <si>
    <t xml:space="preserve">PER-36</t>
  </si>
  <si>
    <t xml:space="preserve">判定要素应包含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</si>
  <si>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判定要素应包含：是否在围栏内、时段（夜间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非工作时间）、区域白名单、停留时长等</t>
    </r>
  </si>
  <si>
    <t xml:space="preserve">PER-37</t>
  </si>
  <si>
    <t xml:space="preserve">应实现为可配置的规则引擎而非硬编码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</si>
  <si>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应实现为可配置的规则引擎而非硬编码。不同营区、不同时段判定标准必然不同，且上线后需反复调优（误报过多是此类系统被弃用的首要原因）</t>
    </r>
  </si>
  <si>
    <r>
      <rPr>
        <sz val="10"/>
        <rFont val="Arial"/>
        <family val="0"/>
        <charset val="1"/>
      </rPr>
      <t xml:space="preserve">F4 / 6.6 </t>
    </r>
    <r>
      <rPr>
        <sz val="10"/>
        <rFont val="Noto Sans CJK SC"/>
        <family val="2"/>
      </rPr>
      <t xml:space="preserve">夜间感知</t>
    </r>
  </si>
  <si>
    <t xml:space="preserve">PER-40</t>
  </si>
  <si>
    <r>
      <rPr>
        <sz val="10"/>
        <rFont val="Noto Sans CJK SC"/>
        <family val="2"/>
      </rPr>
      <t xml:space="preserve">本项目包含夜间巡逻，</t>
    </r>
    <r>
      <rPr>
        <sz val="10"/>
        <rFont val="Arial"/>
        <family val="0"/>
        <charset val="1"/>
      </rPr>
      <t xml:space="preserve">PER-41~43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PAY-03 </t>
    </r>
    <r>
      <rPr>
        <sz val="10"/>
        <rFont val="Noto Sans CJK SC"/>
        <family val="2"/>
      </rPr>
      <t xml:space="preserve">为必须项，由 </t>
    </r>
    <r>
      <rPr>
        <sz val="10"/>
        <rFont val="Arial"/>
        <family val="0"/>
        <charset val="1"/>
      </rPr>
      <t xml:space="preserve">night_patrol.enabled</t>
    </r>
    <r>
      <rPr>
        <sz val="10"/>
        <rFont val="Noto Sans CJK SC"/>
        <family val="2"/>
      </rPr>
      <t xml:space="preserve">（缺省 …</t>
    </r>
  </si>
  <si>
    <r>
      <rPr>
        <sz val="10"/>
        <rFont val="Noto Sans CJK SC"/>
        <family val="2"/>
      </rPr>
      <t xml:space="preserve">正式需求（原【建议】＋【 待确认】，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按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包含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裁定）：本项目包含夜间巡逻，</t>
    </r>
    <r>
      <rPr>
        <sz val="10"/>
        <rFont val="Arial"/>
        <family val="0"/>
        <charset val="1"/>
      </rPr>
      <t xml:space="preserve">PER-41~43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PAY-03 </t>
    </r>
    <r>
      <rPr>
        <sz val="10"/>
        <rFont val="Noto Sans CJK SC"/>
        <family val="2"/>
      </rPr>
      <t xml:space="preserve">为必须项，由 </t>
    </r>
    <r>
      <rPr>
        <sz val="10"/>
        <rFont val="Arial"/>
        <family val="0"/>
        <charset val="1"/>
      </rPr>
      <t xml:space="preserve">night_patrol.enabled</t>
    </r>
    <r>
      <rPr>
        <sz val="10"/>
        <rFont val="Noto Sans CJK SC"/>
        <family val="2"/>
      </rPr>
      <t xml:space="preserve">（缺省 </t>
    </r>
    <r>
      <rPr>
        <sz val="10"/>
        <rFont val="Arial"/>
        <family val="0"/>
        <charset val="1"/>
      </rPr>
      <t xml:space="preserve">true</t>
    </r>
    <r>
      <rPr>
        <sz val="10"/>
        <rFont val="Noto Sans CJK SC"/>
        <family val="2"/>
      </rPr>
      <t xml:space="preserve">）整组开关控制。
 </t>
    </r>
    <r>
      <rPr>
        <sz val="10"/>
        <rFont val="Arial"/>
        <family val="0"/>
        <charset val="1"/>
      </rPr>
      <t xml:space="preserve">enabled == false </t>
    </r>
    <r>
      <rPr>
        <sz val="10"/>
        <rFont val="Noto Sans CJK SC"/>
        <family val="2"/>
      </rPr>
      <t xml:space="preserve">时的确定行为（必须写清，否则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关掉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本身就成了未定义）：
　① 引用了 </t>
    </r>
    <r>
      <rPr>
        <sz val="10"/>
        <rFont val="Arial"/>
        <family val="0"/>
        <charset val="1"/>
      </rPr>
      <t xml:space="preserve">night_patrol.window </t>
    </r>
    <r>
      <rPr>
        <sz val="10"/>
        <rFont val="Noto Sans CJK SC"/>
        <family val="2"/>
      </rPr>
      <t xml:space="preserve">的可疑判定规则（如 </t>
    </r>
    <r>
      <rPr>
        <sz val="10"/>
        <rFont val="Arial"/>
        <family val="0"/>
        <charset val="1"/>
      </rPr>
      <t xml:space="preserve">night_restricted_zone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14 §6.2</t>
    </r>
    <r>
      <rPr>
        <sz val="10"/>
        <rFont val="Noto Sans CJK SC"/>
        <family val="2"/>
      </rPr>
      <t xml:space="preserve">）整条不加载 —— 不是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加载后恒不命中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（后者会在日志里留下误导性的求值记录）；
　② </t>
    </r>
    <r>
      <rPr>
        <sz val="10"/>
        <rFont val="Arial"/>
        <family val="0"/>
        <charset val="1"/>
      </rPr>
      <t xml:space="preserve">speed_limit_enabled </t>
    </r>
    <r>
      <rPr>
        <sz val="10"/>
        <rFont val="Noto Sans CJK SC"/>
        <family val="2"/>
      </rPr>
      <t xml:space="preserve">强制视为 </t>
    </r>
    <r>
      <rPr>
        <sz val="10"/>
        <rFont val="Arial"/>
        <family val="0"/>
        <charset val="1"/>
      </rPr>
      <t xml:space="preserve">false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PER-43</t>
    </r>
    <r>
      <rPr>
        <sz val="10"/>
        <rFont val="Noto Sans CJK SC"/>
        <family val="2"/>
      </rPr>
      <t xml:space="preserve">）；
　③ 夜间感知的相关订阅与判据不注册，健康度里该项标 </t>
    </r>
    <r>
      <rPr>
        <sz val="10"/>
        <rFont val="Arial"/>
        <family val="0"/>
        <charset val="1"/>
      </rPr>
      <t xml:space="preserve">disabled </t>
    </r>
    <r>
      <rPr>
        <sz val="10"/>
        <rFont val="Noto Sans CJK SC"/>
        <family val="2"/>
      </rPr>
      <t xml:space="preserve">而非 </t>
    </r>
    <r>
      <rPr>
        <sz val="10"/>
        <rFont val="Arial"/>
        <family val="0"/>
        <charset val="1"/>
      </rPr>
      <t xml:space="preserve">fail</t>
    </r>
    <r>
      <rPr>
        <sz val="10"/>
        <rFont val="Noto Sans CJK SC"/>
        <family val="2"/>
      </rPr>
      <t xml:space="preserve">；
　④ 其余安全逻辑一律不变 —— 速度门、围栏、</t>
    </r>
    <r>
      <rPr>
        <sz val="10"/>
        <rFont val="Arial"/>
        <family val="0"/>
        <charset val="1"/>
      </rPr>
      <t xml:space="preserve">Tier 1 </t>
    </r>
    <r>
      <rPr>
        <sz val="10"/>
        <rFont val="Noto Sans CJK SC"/>
        <family val="2"/>
      </rPr>
      <t xml:space="preserve">与本开关无关。
 订正理由：原文把一整组需求的成立与否挂在一个未答的是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否上 ⇒ 照明自动控制、夜间限速、</t>
    </r>
    <r>
      <rPr>
        <sz val="10"/>
        <rFont val="Arial"/>
        <family val="0"/>
        <charset val="1"/>
      </rPr>
      <t xml:space="preserve">IR </t>
    </r>
    <r>
      <rPr>
        <sz val="10"/>
        <rFont val="Noto Sans CJK SC"/>
        <family val="2"/>
      </rPr>
      <t xml:space="preserve">补光既不能实现也不能砍掉，直接阻塞编码</t>
    </r>
  </si>
  <si>
    <r>
      <rPr>
        <sz val="10"/>
        <rFont val="Noto Sans CJK SC"/>
        <family val="2"/>
      </rPr>
      <t xml:space="preserve">❌ 夜间巡查规则（</t>
    </r>
    <r>
      <rPr>
        <sz val="10"/>
        <rFont val="Arial"/>
        <family val="0"/>
        <charset val="1"/>
      </rPr>
      <t xml:space="preserve">night_patrol</t>
    </r>
    <r>
      <rPr>
        <sz val="10"/>
        <rFont val="Noto Sans CJK SC"/>
        <family val="2"/>
      </rPr>
      <t xml:space="preserve">）未接线</t>
    </r>
  </si>
  <si>
    <t xml:space="preserve">PER-40a</t>
  </si>
  <si>
    <r>
      <rPr>
        <sz val="10"/>
        <rFont val="Noto Sans CJK SC"/>
        <family val="2"/>
      </rPr>
      <t xml:space="preserve">—— 关于「</t>
    </r>
    <r>
      <rPr>
        <sz val="10"/>
        <rFont val="Arial"/>
        <family val="0"/>
        <charset val="1"/>
      </rPr>
      <t xml:space="preserve">enabled == false </t>
    </r>
    <r>
      <rPr>
        <sz val="10"/>
        <rFont val="Noto Sans CJK SC"/>
        <family val="2"/>
      </rPr>
      <t xml:space="preserve">时 </t>
    </r>
    <r>
      <rPr>
        <sz val="10"/>
        <rFont val="Arial"/>
        <family val="0"/>
        <charset val="1"/>
      </rPr>
      <t xml:space="preserve">PAY-03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auto </t>
    </r>
    <r>
      <rPr>
        <sz val="10"/>
        <rFont val="Noto Sans CJK SC"/>
        <family val="2"/>
      </rPr>
      <t xml:space="preserve">档照明判据链是否仍求值」， ⇒ 两处现已一…</t>
    </r>
  </si>
  <si>
    <r>
      <rPr>
        <sz val="10"/>
        <rFont val="Noto Sans CJK SC"/>
        <family val="2"/>
      </rPr>
      <t xml:space="preserve">—— 关于「</t>
    </r>
    <r>
      <rPr>
        <sz val="10"/>
        <rFont val="Arial"/>
        <family val="0"/>
        <charset val="1"/>
      </rPr>
      <t xml:space="preserve">enabled == false </t>
    </r>
    <r>
      <rPr>
        <sz val="10"/>
        <rFont val="Noto Sans CJK SC"/>
        <family val="2"/>
      </rPr>
      <t xml:space="preserve">时 </t>
    </r>
    <r>
      <rPr>
        <sz val="10"/>
        <rFont val="Arial"/>
        <family val="0"/>
        <charset val="1"/>
      </rPr>
      <t xml:space="preserve">PAY-03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auto </t>
    </r>
    <r>
      <rPr>
        <sz val="10"/>
        <rFont val="Noto Sans CJK SC"/>
        <family val="2"/>
      </rPr>
      <t xml:space="preserve">档照明判据链是否仍求值」， ⇒ 两处现已一致：
　</t>
    </r>
    <r>
      <rPr>
        <sz val="10"/>
        <rFont val="Arial"/>
        <family val="0"/>
        <charset val="1"/>
      </rPr>
      <t xml:space="preserve">· 14 §11</t>
    </r>
    <r>
      <rPr>
        <sz val="10"/>
        <rFont val="Noto Sans CJK SC"/>
        <family val="2"/>
      </rPr>
      <t xml:space="preserve">： 不受影响 —— 理由「照明是 </t>
    </r>
    <r>
      <rPr>
        <sz val="10"/>
        <rFont val="Arial"/>
        <family val="0"/>
        <charset val="1"/>
      </rPr>
      <t xml:space="preserve">PAY-03/PER-42</t>
    </r>
    <r>
      <rPr>
        <sz val="10"/>
        <rFont val="Noto Sans CJK SC"/>
        <family val="2"/>
      </rPr>
      <t xml:space="preserve">，与是否夜巡无关」；
　</t>
    </r>
    <r>
      <rPr>
        <sz val="10"/>
        <rFont val="Arial"/>
        <family val="0"/>
        <charset val="1"/>
      </rPr>
      <t xml:space="preserve">· ⇒ </t>
    </r>
    <r>
      <rPr>
        <sz val="10"/>
        <rFont val="Noto Sans CJK SC"/>
        <family val="2"/>
      </rPr>
      <t xml:space="preserve">该说法已由 </t>
    </r>
    <r>
      <rPr>
        <sz val="10"/>
        <rFont val="Arial"/>
        <family val="0"/>
        <charset val="1"/>
      </rPr>
      <t xml:space="preserve">99 </t>
    </r>
    <r>
      <rPr>
        <sz val="10"/>
        <rFont val="Noto Sans CJK SC"/>
        <family val="2"/>
      </rPr>
      <t xml:space="preserve">自己撤回（见下方 ③）。
 </t>
    </r>
    <r>
      <rPr>
        <sz val="10"/>
        <rFont val="Arial"/>
        <family val="0"/>
        <charset val="1"/>
      </rPr>
      <t xml:space="preserve">00 </t>
    </r>
    <r>
      <rPr>
        <sz val="10"/>
        <rFont val="Noto Sans CJK SC"/>
        <family val="2"/>
      </rPr>
      <t xml:space="preserve">侧按 </t>
    </r>
    <r>
      <rPr>
        <sz val="10"/>
        <rFont val="Arial"/>
        <family val="0"/>
        <charset val="1"/>
      </rPr>
      <t xml:space="preserve">14 </t>
    </r>
    <r>
      <rPr>
        <sz val="10"/>
        <rFont val="Noto Sans CJK SC"/>
        <family val="2"/>
      </rPr>
      <t xml:space="preserve">的写法落地（</t>
    </r>
    <r>
      <rPr>
        <sz val="10"/>
        <rFont val="Arial"/>
        <family val="0"/>
        <charset val="1"/>
      </rPr>
      <t xml:space="preserve">auto </t>
    </r>
    <r>
      <rPr>
        <sz val="10"/>
        <rFont val="Noto Sans CJK SC"/>
        <family val="2"/>
      </rPr>
      <t xml:space="preserve">不受本开关影响）， 理由是失效方向：</t>
    </r>
    <r>
      <rPr>
        <sz val="10"/>
        <rFont val="Arial"/>
        <family val="0"/>
        <charset val="1"/>
      </rPr>
      <t xml:space="preserve">auto </t>
    </r>
    <r>
      <rPr>
        <sz val="10"/>
        <rFont val="Noto Sans CJK SC"/>
        <family val="2"/>
      </rPr>
      <t xml:space="preserve">继续求值的后果是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夜里灯自动亮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（无害，且是 </t>
    </r>
    <r>
      <rPr>
        <sz val="10"/>
        <rFont val="Arial"/>
        <family val="0"/>
        <charset val="1"/>
      </rPr>
      <t xml:space="preserve">PER-42 </t>
    </r>
    <r>
      <rPr>
        <sz val="10"/>
        <rFont val="Noto Sans CJK SC"/>
        <family val="2"/>
      </rPr>
      <t xml:space="preserve">要的）；不求值的后果是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夜里机器人黑着走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（感知直接降级）。
 </t>
    </r>
    <r>
      <rPr>
        <sz val="10"/>
        <rFont val="Arial"/>
        <family val="0"/>
        <charset val="1"/>
      </rPr>
      <t xml:space="preserve">v0.6 </t>
    </r>
    <r>
      <rPr>
        <sz val="10"/>
        <rFont val="Noto Sans CJK SC"/>
        <family val="2"/>
      </rPr>
      <t xml:space="preserve">结账（甲</t>
    </r>
    <r>
      <rPr>
        <sz val="10"/>
        <rFont val="Arial"/>
        <family val="0"/>
        <charset val="1"/>
      </rPr>
      <t xml:space="preserve">-06 </t>
    </r>
    <r>
      <rPr>
        <sz val="10"/>
        <rFont val="Noto Sans CJK SC"/>
        <family val="2"/>
      </rPr>
      <t xml:space="preserve">选 </t>
    </r>
    <r>
      <rPr>
        <sz val="10"/>
        <rFont val="Arial"/>
        <family val="0"/>
        <charset val="1"/>
      </rPr>
      <t xml:space="preserve">C · </t>
    </r>
    <r>
      <rPr>
        <sz val="10"/>
        <rFont val="Noto Sans CJK SC"/>
        <family val="2"/>
      </rPr>
      <t xml:space="preserve">四段式）
　 ① 原写什么 ＝ 上方三处删除线：本条是一处未收口的跨文件措辞冲突，</t>
    </r>
    <r>
      <rPr>
        <sz val="10"/>
        <rFont val="Arial"/>
        <family val="0"/>
        <charset val="1"/>
      </rPr>
      <t xml:space="preserve">00 </t>
    </r>
    <r>
      <rPr>
        <sz val="10"/>
        <rFont val="Noto Sans CJK SC"/>
        <family val="2"/>
      </rPr>
      <t xml:space="preserve">不代改，归 </t>
    </r>
    <r>
      <rPr>
        <sz val="10"/>
        <rFont val="Arial"/>
        <family val="0"/>
        <charset val="1"/>
      </rPr>
      <t xml:space="preserve">99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14 </t>
    </r>
    <r>
      <rPr>
        <sz val="10"/>
        <rFont val="Noto Sans CJK SC"/>
        <family val="2"/>
      </rPr>
      <t xml:space="preserve">收口。
　 ② 为何不再成立 ＝ 用户已于 </t>
    </r>
    <r>
      <rPr>
        <sz val="10"/>
        <rFont val="Arial"/>
        <family val="0"/>
        <charset val="1"/>
      </rPr>
      <t xml:space="preserve">2026-08-03 </t>
    </r>
    <r>
      <rPr>
        <sz val="10"/>
        <rFont val="Noto Sans CJK SC"/>
        <family val="2"/>
      </rPr>
      <t xml:space="preserve">拍板 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：夜巡关闭时照明 </t>
    </r>
    <r>
      <rPr>
        <sz val="10"/>
        <rFont val="Arial"/>
        <family val="0"/>
        <charset val="1"/>
      </rPr>
      <t xml:space="preserve">auto </t>
    </r>
    <r>
      <rPr>
        <sz val="10"/>
        <rFont val="Noto Sans CJK SC"/>
        <family val="2"/>
      </rPr>
      <t xml:space="preserve">不再拒绝，照 </t>
    </r>
    <r>
      <rPr>
        <sz val="10"/>
        <rFont val="Arial"/>
        <family val="0"/>
        <charset val="1"/>
      </rPr>
      <t xml:space="preserve">14 §11</t>
    </r>
    <r>
      <rPr>
        <sz val="10"/>
        <rFont val="Noto Sans CJK SC"/>
        <family val="2"/>
      </rPr>
      <t xml:space="preserve">「不受影响、照常求值」 ⇒ 冲突的另一半（</t>
    </r>
    <r>
      <rPr>
        <sz val="10"/>
        <rFont val="Arial"/>
        <family val="0"/>
        <charset val="1"/>
      </rPr>
      <t xml:space="preserve">99 U57 </t>
    </r>
    <r>
      <rPr>
        <sz val="10"/>
        <rFont val="Noto Sans CJK SC"/>
        <family val="2"/>
      </rPr>
      <t xml:space="preserve">的「不求值 ＋ 拒绝码」）已被 </t>
    </r>
    <r>
      <rPr>
        <sz val="10"/>
        <rFont val="Arial"/>
        <family val="0"/>
        <charset val="1"/>
      </rPr>
      <t xml:space="preserve">99 </t>
    </r>
    <r>
      <rPr>
        <sz val="10"/>
        <rFont val="Noto Sans CJK SC"/>
        <family val="2"/>
      </rPr>
      <t xml:space="preserve">自己整段划删，两侧口径自此与 </t>
    </r>
    <r>
      <rPr>
        <sz val="10"/>
        <rFont val="Arial"/>
        <family val="0"/>
        <charset val="1"/>
      </rPr>
      <t xml:space="preserve">14 §11 </t>
    </r>
    <r>
      <rPr>
        <sz val="10"/>
        <rFont val="Noto Sans CJK SC"/>
        <family val="2"/>
      </rPr>
      <t xml:space="preserve">一致 ⇒ 本条已无「冲突」可登记。
　 ③ 实测证据（</t>
    </r>
    <r>
      <rPr>
        <sz val="10"/>
        <rFont val="Arial"/>
        <family val="0"/>
        <charset val="1"/>
      </rPr>
      <t xml:space="preserve">99 NUM-4 · </t>
    </r>
    <r>
      <rPr>
        <sz val="10"/>
        <rFont val="Noto Sans CJK SC"/>
        <family val="2"/>
      </rPr>
      <t xml:space="preserve">只给章节号 ＋ 逐字锚点， 不写行号） ＝ </t>
    </r>
    <r>
      <rPr>
        <sz val="10"/>
        <rFont val="Arial"/>
        <family val="0"/>
        <charset val="1"/>
      </rPr>
      <t xml:space="preserve">99 §U57</t>
    </r>
    <r>
      <rPr>
        <sz val="10"/>
        <rFont val="Noto Sans CJK SC"/>
        <family val="2"/>
      </rPr>
      <t xml:space="preserve">「照明 </t>
    </r>
    <r>
      <rPr>
        <sz val="10"/>
        <rFont val="Arial"/>
        <family val="0"/>
        <charset val="1"/>
      </rPr>
      <t xml:space="preserve">auto </t>
    </r>
    <r>
      <rPr>
        <sz val="10"/>
        <rFont val="Noto Sans CJK SC"/>
        <family val="2"/>
      </rPr>
      <t xml:space="preserve">档」行现文已把原 </t>
    </r>
    <r>
      <rPr>
        <sz val="10"/>
        <rFont val="Arial"/>
        <family val="0"/>
        <charset val="1"/>
      </rPr>
      <t xml:space="preserve">rejected </t>
    </r>
    <r>
      <rPr>
        <sz val="10"/>
        <rFont val="Noto Sans CJK SC"/>
        <family val="2"/>
      </rPr>
      <t xml:space="preserve">＋ 拒绝码整段划入删除线并写下四段式订正，逐字锚点 </t>
    </r>
    <r>
      <rPr>
        <sz val="10"/>
        <rFont val="Arial"/>
        <family val="0"/>
        <charset val="1"/>
      </rPr>
      <t xml:space="preserve">grep -n "v1.1 </t>
    </r>
    <r>
      <rPr>
        <sz val="10"/>
        <rFont val="Noto Sans CJK SC"/>
        <family val="2"/>
      </rPr>
      <t xml:space="preserve">已改判（甲</t>
    </r>
    <r>
      <rPr>
        <sz val="10"/>
        <rFont val="Arial"/>
        <family val="0"/>
        <charset val="1"/>
      </rPr>
      <t xml:space="preserve">-06 </t>
    </r>
    <r>
      <rPr>
        <sz val="10"/>
        <rFont val="Noto Sans CJK SC"/>
        <family val="2"/>
      </rPr>
      <t xml:space="preserve">选 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" docs/99-</t>
    </r>
    <r>
      <rPr>
        <sz val="10"/>
        <rFont val="Noto Sans CJK SC"/>
        <family val="2"/>
      </rPr>
      <t xml:space="preserve">决策记录</t>
    </r>
    <r>
      <rPr>
        <sz val="10"/>
        <rFont val="Arial"/>
        <family val="0"/>
        <charset val="1"/>
      </rPr>
      <t xml:space="preserve">.md 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11 §13.18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19 </t>
    </r>
    <r>
      <rPr>
        <sz val="10"/>
        <rFont val="Noto Sans CJK SC"/>
        <family val="2"/>
      </rPr>
      <t xml:space="preserve">条 与 </t>
    </r>
    <r>
      <rPr>
        <sz val="10"/>
        <rFont val="Arial"/>
        <family val="0"/>
        <charset val="1"/>
      </rPr>
      <t xml:space="preserve">§14.6 EC-2u </t>
    </r>
    <r>
      <rPr>
        <sz val="10"/>
        <rFont val="Noto Sans CJK SC"/>
        <family val="2"/>
      </rPr>
      <t xml:space="preserve">亦已同批更新，逐字锚点 </t>
    </r>
    <r>
      <rPr>
        <sz val="10"/>
        <rFont val="Arial"/>
        <family val="0"/>
        <charset val="1"/>
      </rPr>
      <t xml:space="preserve">grep -n "</t>
    </r>
    <r>
      <rPr>
        <sz val="10"/>
        <rFont val="Noto Sans CJK SC"/>
        <family val="2"/>
      </rPr>
      <t xml:space="preserve">甲</t>
    </r>
    <r>
      <rPr>
        <sz val="10"/>
        <rFont val="Arial"/>
        <family val="0"/>
        <charset val="1"/>
      </rPr>
      <t xml:space="preserve">-06 </t>
    </r>
    <r>
      <rPr>
        <sz val="10"/>
        <rFont val="Noto Sans CJK SC"/>
        <family val="2"/>
      </rPr>
      <t xml:space="preserve">已拍板 </t>
    </r>
    <r>
      <rPr>
        <sz val="10"/>
        <rFont val="Arial"/>
        <family val="0"/>
        <charset val="1"/>
      </rPr>
      <t xml:space="preserve">C" docs/11-</t>
    </r>
    <r>
      <rPr>
        <sz val="10"/>
        <rFont val="Noto Sans CJK SC"/>
        <family val="2"/>
      </rPr>
      <t xml:space="preserve">接口契约</t>
    </r>
    <r>
      <rPr>
        <sz val="10"/>
        <rFont val="Arial"/>
        <family val="0"/>
        <charset val="1"/>
      </rPr>
      <t xml:space="preserve">.m…</t>
    </r>
    <r>
      <rPr>
        <sz val="10"/>
        <rFont val="Noto Sans CJK SC"/>
        <family val="2"/>
      </rPr>
      <t xml:space="preserve">（全文见 </t>
    </r>
    <r>
      <rPr>
        <sz val="10"/>
        <rFont val="Arial"/>
        <family val="0"/>
        <charset val="1"/>
      </rPr>
      <t xml:space="preserve">00 </t>
    </r>
    <r>
      <rPr>
        <sz val="10"/>
        <rFont val="Noto Sans CJK SC"/>
        <family val="2"/>
      </rPr>
      <t xml:space="preserve">册该编号）</t>
    </r>
  </si>
  <si>
    <t xml:space="preserve">PER-41</t>
  </si>
  <si>
    <r>
      <rPr>
        <sz val="10"/>
        <rFont val="Arial"/>
        <family val="0"/>
        <charset val="1"/>
      </rPr>
      <t xml:space="preserve">YOLOv11n </t>
    </r>
    <r>
      <rPr>
        <sz val="10"/>
        <rFont val="Noto Sans CJK SC"/>
        <family val="2"/>
      </rPr>
      <t xml:space="preserve">在低照度 </t>
    </r>
    <r>
      <rPr>
        <sz val="10"/>
        <rFont val="Arial"/>
        <family val="0"/>
        <charset val="1"/>
      </rPr>
      <t xml:space="preserve">RGB </t>
    </r>
    <r>
      <rPr>
        <sz val="10"/>
        <rFont val="Noto Sans CJK SC"/>
        <family val="2"/>
      </rPr>
      <t xml:space="preserve">下性能显著下降</t>
    </r>
  </si>
  <si>
    <r>
      <rPr>
        <sz val="10"/>
        <rFont val="Noto Sans CJK SC"/>
        <family val="2"/>
      </rPr>
      <t xml:space="preserve">正式需求：</t>
    </r>
    <r>
      <rPr>
        <sz val="10"/>
        <rFont val="Arial"/>
        <family val="0"/>
        <charset val="1"/>
      </rPr>
      <t xml:space="preserve">YOLOv11n </t>
    </r>
    <r>
      <rPr>
        <sz val="10"/>
        <rFont val="Noto Sans CJK SC"/>
        <family val="2"/>
      </rPr>
      <t xml:space="preserve">在低照度 </t>
    </r>
    <r>
      <rPr>
        <sz val="10"/>
        <rFont val="Arial"/>
        <family val="0"/>
        <charset val="1"/>
      </rPr>
      <t xml:space="preserve">RGB </t>
    </r>
    <r>
      <rPr>
        <sz val="10"/>
        <rFont val="Noto Sans CJK SC"/>
        <family val="2"/>
      </rPr>
      <t xml:space="preserve">下性能显著下降；</t>
    </r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主动 </t>
    </r>
    <r>
      <rPr>
        <sz val="10"/>
        <rFont val="Arial"/>
        <family val="0"/>
        <charset val="1"/>
      </rPr>
      <t xml:space="preserve">IR </t>
    </r>
    <r>
      <rPr>
        <sz val="10"/>
        <rFont val="Noto Sans CJK SC"/>
        <family val="2"/>
      </rPr>
      <t xml:space="preserve">近距可用但有量程限制。 本条是事实登记，其可实现后果落在 </t>
    </r>
    <r>
      <rPr>
        <sz val="10"/>
        <rFont val="Arial"/>
        <family val="0"/>
        <charset val="1"/>
      </rPr>
      <t xml:space="preserve">PER-42 / PER-43</t>
    </r>
  </si>
  <si>
    <t xml:space="preserve">PER-42</t>
  </si>
  <si>
    <t xml:space="preserve">照明灯不仅是威慑设备，也是感知系统的组成部分</t>
  </si>
  <si>
    <r>
      <rPr>
        <sz val="10"/>
        <rFont val="Noto Sans CJK SC"/>
        <family val="2"/>
      </rPr>
      <t xml:space="preserve">正式需求：照明灯不仅是威慑设备，也是感知系统的组成部分。应按环境光自动补光，并作为受控输入纳入感知层。
 与 </t>
    </r>
    <r>
      <rPr>
        <sz val="10"/>
        <rFont val="Arial"/>
        <family val="0"/>
        <charset val="1"/>
      </rPr>
      <t xml:space="preserve">PAY-02c GL-2 </t>
    </r>
    <r>
      <rPr>
        <sz val="10"/>
        <rFont val="Noto Sans CJK SC"/>
        <family val="2"/>
      </rPr>
      <t xml:space="preserve">强绑定：夜间补光用的是探照灯常亮（</t>
    </r>
    <r>
      <rPr>
        <sz val="10"/>
        <rFont val="Arial"/>
        <family val="0"/>
        <charset val="1"/>
      </rPr>
      <t xml:space="preserve">MSG_LIGHT[1]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MSG_BRIGHT[30]</t>
    </r>
    <r>
      <rPr>
        <sz val="10"/>
        <rFont val="Noto Sans CJK SC"/>
        <family val="2"/>
      </rPr>
      <t xml:space="preserve">）， 绝不可用爆闪 —— 爆闪状态下只有闪光瞬间成像。
 判据链落点在 </t>
    </r>
    <r>
      <rPr>
        <sz val="10"/>
        <rFont val="Arial"/>
        <family val="0"/>
        <charset val="1"/>
      </rPr>
      <t xml:space="preserve">14 §4.3.2</t>
    </r>
    <r>
      <rPr>
        <sz val="10"/>
        <rFont val="Noto Sans CJK SC"/>
        <family val="2"/>
      </rPr>
      <t xml:space="preserve">； 阈值（</t>
    </r>
    <r>
      <rPr>
        <sz val="10"/>
        <rFont val="Arial"/>
        <family val="0"/>
        <charset val="1"/>
      </rPr>
      <t xml:space="preserve">on/off_lux_equiv · night_off_sun_elev_deg </t>
    </r>
    <r>
      <rPr>
        <sz val="10"/>
        <rFont val="Noto Sans CJK SC"/>
        <family val="2"/>
      </rPr>
      <t xml:space="preserve">占位 −</t>
    </r>
    <r>
      <rPr>
        <sz val="10"/>
        <rFont val="Arial"/>
        <family val="0"/>
        <charset val="1"/>
      </rPr>
      <t xml:space="preserve">3.0° · min_dwell_s </t>
    </r>
    <r>
      <rPr>
        <sz val="10"/>
        <rFont val="Noto Sans CJK SC"/>
        <family val="2"/>
      </rPr>
      <t xml:space="preserve">占位 </t>
    </r>
    <r>
      <rPr>
        <sz val="10"/>
        <rFont val="Arial"/>
        <family val="0"/>
        <charset val="1"/>
      </rPr>
      <t xml:space="preserve">120 s</t>
    </r>
    <r>
      <rPr>
        <sz val="10"/>
        <rFont val="Noto Sans CJK SC"/>
        <family val="2"/>
      </rPr>
      <t xml:space="preserve">， 结构性下界 </t>
    </r>
    <r>
      <rPr>
        <sz val="10"/>
        <rFont val="Arial"/>
        <family val="0"/>
        <charset val="1"/>
      </rPr>
      <t xml:space="preserve">60 s</t>
    </r>
    <r>
      <rPr>
        <sz val="10"/>
        <rFont val="Noto Sans CJK SC"/>
        <family val="2"/>
      </rPr>
      <t xml:space="preserve">）为现场标定项，登记在 </t>
    </r>
    <r>
      <rPr>
        <sz val="10"/>
        <rFont val="Arial"/>
        <family val="0"/>
        <charset val="1"/>
      </rPr>
      <t xml:space="preserve">11 §15.4 M-27</t>
    </r>
    <r>
      <rPr>
        <sz val="10"/>
        <rFont val="Noto Sans CJK SC"/>
        <family val="2"/>
      </rPr>
      <t xml:space="preserve">（ ＝ 照明 </t>
    </r>
    <r>
      <rPr>
        <sz val="10"/>
        <rFont val="Arial"/>
        <family val="0"/>
        <charset val="1"/>
      </rPr>
      <t xml:space="preserve">auto </t>
    </r>
    <r>
      <rPr>
        <sz val="10"/>
        <rFont val="Noto Sans CJK SC"/>
        <family val="2"/>
      </rPr>
      <t xml:space="preserve">档阈值与迟滞现场标定，定义处 </t>
    </r>
    <r>
      <rPr>
        <sz val="10"/>
        <rFont val="Arial"/>
        <family val="0"/>
        <charset val="1"/>
      </rPr>
      <t xml:space="preserve">99 §M</t>
    </r>
    <r>
      <rPr>
        <sz val="10"/>
        <rFont val="Noto Sans CJK SC"/>
        <family val="2"/>
      </rPr>
      <t xml:space="preserve">； 落点 </t>
    </r>
    <r>
      <rPr>
        <sz val="10"/>
        <rFont val="Arial"/>
        <family val="0"/>
        <charset val="1"/>
      </rPr>
      <t xml:space="preserve">14 §4.3.2</t>
    </r>
    <r>
      <rPr>
        <sz val="10"/>
        <rFont val="Noto Sans CJK SC"/>
        <family val="2"/>
      </rPr>
      <t xml:space="preserve">）。
 编号沿革： → → </t>
    </r>
    <r>
      <rPr>
        <sz val="10"/>
        <rFont val="Arial"/>
        <family val="0"/>
        <charset val="1"/>
      </rPr>
      <t xml:space="preserve">M-27</t>
    </r>
    <r>
      <rPr>
        <sz val="10"/>
        <rFont val="Noto Sans CJK SC"/>
        <family val="2"/>
      </rPr>
      <t xml:space="preserve">（二次顺延）； 作废（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 —— </t>
    </r>
    <r>
      <rPr>
        <sz val="10"/>
        <rFont val="Arial"/>
        <family val="0"/>
        <charset val="1"/>
      </rPr>
      <t xml:space="preserve">11 / 99 </t>
    </r>
    <r>
      <rPr>
        <sz val="10"/>
        <rFont val="Noto Sans CJK SC"/>
        <family val="2"/>
      </rPr>
      <t xml:space="preserve">的重编号已完成，该项现有正式号，回避写法失去前提。 标错的后果是黄昏反复开关（灯自身照亮相机 → 正反馈振荡）</t>
    </r>
  </si>
  <si>
    <t xml:space="preserve">PER-43</t>
  </si>
  <si>
    <t xml:space="preserve">＋ 缺省关闭</t>
  </si>
  <si>
    <r>
      <rPr>
        <sz val="10"/>
        <rFont val="Noto Sans CJK SC"/>
        <family val="2"/>
      </rPr>
      <t xml:space="preserve">正式需求（能力必做）＋ 缺省关闭：夜间自动切换更保守的速度上限与避障阈值。
 落地形式：作为 </t>
    </r>
    <r>
      <rPr>
        <sz val="10"/>
        <rFont val="Arial"/>
        <family val="0"/>
        <charset val="1"/>
      </rPr>
      <t xml:space="preserve">NAV-78 v_max = min(…) </t>
    </r>
    <r>
      <rPr>
        <sz val="10"/>
        <rFont val="Noto Sans CJK SC"/>
        <family val="2"/>
      </rPr>
      <t xml:space="preserve">的一个上限项接入（走 </t>
    </r>
    <r>
      <rPr>
        <sz val="10"/>
        <rFont val="Arial"/>
        <family val="0"/>
        <charset val="1"/>
      </rPr>
      <t xml:space="preserve">14 §8.3 max_profile </t>
    </r>
    <r>
      <rPr>
        <sz val="10"/>
        <rFont val="Noto Sans CJK SC"/>
        <family val="2"/>
      </rPr>
      <t xml:space="preserve">准入），不新开一路机制。
 缺省 </t>
    </r>
    <r>
      <rPr>
        <sz val="10"/>
        <rFont val="Arial"/>
        <family val="0"/>
        <charset val="1"/>
      </rPr>
      <t xml:space="preserve">night_patrol.speed_limit_enabled = false</t>
    </r>
    <r>
      <rPr>
        <sz val="10"/>
        <rFont val="Noto Sans CJK SC"/>
        <family val="2"/>
      </rPr>
      <t xml:space="preserve">（与 </t>
    </r>
    <r>
      <rPr>
        <sz val="10"/>
        <rFont val="Arial"/>
        <family val="0"/>
        <charset val="1"/>
      </rPr>
      <t xml:space="preserve">14 §11 </t>
    </r>
    <r>
      <rPr>
        <sz val="10"/>
        <rFont val="Noto Sans CJK SC"/>
        <family val="2"/>
      </rPr>
      <t xml:space="preserve">一致）—— 具体限速值待 </t>
    </r>
    <r>
      <rPr>
        <sz val="10"/>
        <rFont val="Arial"/>
        <family val="0"/>
        <charset val="1"/>
      </rPr>
      <t xml:space="preserve">11 U-18 </t>
    </r>
    <r>
      <rPr>
        <sz val="10"/>
        <rFont val="Noto Sans CJK SC"/>
        <family val="2"/>
      </rPr>
      <t xml:space="preserve">定，在取值到位前不得凭空启用。
 失效方向必须写明：</t>
    </r>
    <r>
      <rPr>
        <sz val="10"/>
        <rFont val="Arial"/>
        <family val="0"/>
        <charset val="1"/>
      </rPr>
      <t xml:space="preserve">min() </t>
    </r>
    <r>
      <rPr>
        <sz val="10"/>
        <rFont val="Noto Sans CJK SC"/>
        <family val="2"/>
      </rPr>
      <t xml:space="preserve">里少一个上限项只会让车更快 ⇒ 关闭必须是显式配置项，绝不能靠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忘了实现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来表达； 启用后该项只许降不许升（</t>
    </r>
    <r>
      <rPr>
        <sz val="10"/>
        <rFont val="Arial"/>
        <family val="0"/>
        <charset val="1"/>
      </rPr>
      <t xml:space="preserve">CON-07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</si>
  <si>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F4 / 6.7</t>
    </r>
    <r>
      <rPr>
        <sz val="10"/>
        <rFont val="Noto Sans CJK SC"/>
        <family val="2"/>
      </rPr>
      <t xml:space="preserve">【新】观察相机（布控球）与感知管线的边界</t>
    </r>
  </si>
  <si>
    <t xml:space="preserve">PER-50</t>
  </si>
  <si>
    <r>
      <rPr>
        <sz val="10"/>
        <rFont val="Noto Sans CJK SC"/>
        <family val="2"/>
      </rPr>
      <t xml:space="preserve">布控球（可见光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红外）两路画面均不进入感知管线</t>
    </r>
  </si>
  <si>
    <r>
      <rPr>
        <sz val="10"/>
        <rFont val="Noto Sans CJK SC"/>
        <family val="2"/>
      </rPr>
      <t xml:space="preserve">布控球（可见光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红外）两路画面均不进入感知管线。它们是给人看的观察通道，经 </t>
    </r>
    <r>
      <rPr>
        <sz val="10"/>
        <rFont val="Arial"/>
        <family val="0"/>
        <charset val="1"/>
      </rPr>
      <t xml:space="preserve">NAT </t>
    </r>
    <r>
      <rPr>
        <sz val="10"/>
        <rFont val="Noto Sans CJK SC"/>
        <family val="2"/>
      </rPr>
      <t xml:space="preserve">直通推给云端（</t>
    </r>
    <r>
      <rPr>
        <sz val="10"/>
        <rFont val="Arial"/>
        <family val="0"/>
        <charset val="1"/>
      </rPr>
      <t xml:space="preserve">PAY-20/21</t>
    </r>
    <r>
      <rPr>
        <sz val="10"/>
        <rFont val="Noto Sans CJK SC"/>
        <family val="2"/>
      </rPr>
      <t xml:space="preserve">）， </t>
    </r>
    <r>
      <rPr>
        <sz val="10"/>
        <rFont val="Arial"/>
        <family val="0"/>
        <charset val="1"/>
      </rPr>
      <t xml:space="preserve">Orin </t>
    </r>
    <r>
      <rPr>
        <sz val="10"/>
        <rFont val="Noto Sans CJK SC"/>
        <family val="2"/>
      </rPr>
      <t xml:space="preserve">不解码不转码、算力零占用。感知的视觉输入只有 </t>
    </r>
    <r>
      <rPr>
        <sz val="10"/>
        <rFont val="Arial"/>
        <family val="0"/>
        <charset val="1"/>
      </rPr>
      <t xml:space="preserve">Gemini 336L</t>
    </r>
  </si>
  <si>
    <t xml:space="preserve">审查：观察相机不进感知管线</t>
  </si>
  <si>
    <t xml:space="preserve">PER-51</t>
  </si>
  <si>
    <t xml:space="preserve">布控球画面在原理上无法反投影到世界坐标</t>
  </si>
  <si>
    <r>
      <rPr>
        <sz val="10"/>
        <rFont val="Noto Sans CJK SC"/>
        <family val="2"/>
      </rPr>
      <t xml:space="preserve">布控球画面在原理上无法反投影到世界坐标：反投影需要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该帧的云台 </t>
    </r>
    <r>
      <rPr>
        <sz val="10"/>
        <rFont val="Arial"/>
        <family val="0"/>
        <charset val="1"/>
      </rPr>
      <t xml:space="preserve">pan/tilt/zoom"</t>
    </r>
    <r>
      <rPr>
        <sz val="10"/>
        <rFont val="Noto Sans CJK SC"/>
        <family val="2"/>
      </rPr>
      <t xml:space="preserve">，而 位置回读恒为假值 </t>
    </r>
    <r>
      <rPr>
        <sz val="10"/>
        <rFont val="Arial"/>
        <family val="0"/>
        <charset val="1"/>
      </rPr>
      <t xml:space="preserve">(180, 0)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PAY-32②</t>
    </r>
    <r>
      <rPr>
        <sz val="10"/>
        <rFont val="Noto Sans CJK SC"/>
        <family val="2"/>
      </rPr>
      <t xml:space="preserve">）。
 因此：</t>
    </r>
    <r>
      <rPr>
        <sz val="10"/>
        <rFont val="Arial"/>
        <family val="0"/>
        <charset val="1"/>
      </rPr>
      <t xml:space="preserve">world_pos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PER-10</t>
    </r>
    <r>
      <rPr>
        <sz val="10"/>
        <rFont val="Noto Sans CJK SC"/>
        <family val="2"/>
      </rPr>
      <t xml:space="preserve">）只能来自 </t>
    </r>
    <r>
      <rPr>
        <sz val="10"/>
        <rFont val="Arial"/>
        <family val="0"/>
        <charset val="1"/>
      </rPr>
      <t xml:space="preserve">336L + RTK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PER-11 </t>
    </r>
    <r>
      <rPr>
        <sz val="10"/>
        <rFont val="Noto Sans CJK SC"/>
        <family val="2"/>
      </rPr>
      <t xml:space="preserve">的方案不受影响）； 禁止任何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用布控球画面标目标位置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算方位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判围栏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的设计 —— 它算出的坐标是基于假角度的假坐标，比没有更危险（会静默产生看似合理的错值）</t>
    </r>
  </si>
  <si>
    <t xml:space="preserve">PER-52</t>
  </si>
  <si>
    <t xml:space="preserve">红外相机本期定位为「人眼观察」，不做检测推理</t>
  </si>
  <si>
    <r>
      <rPr>
        <sz val="10"/>
        <rFont val="Noto Sans CJK SC"/>
        <family val="2"/>
      </rPr>
      <t xml:space="preserve">红外相机本期定位为「人眼观察」，不做检测推理。
 待用户决策（</t>
    </r>
    <r>
      <rPr>
        <sz val="10"/>
        <rFont val="Arial"/>
        <family val="0"/>
        <charset val="1"/>
      </rPr>
      <t xml:space="preserve">§22 U-PTZ-3</t>
    </r>
    <r>
      <rPr>
        <sz val="10"/>
        <rFont val="Noto Sans CJK SC"/>
        <family val="2"/>
      </rPr>
      <t xml:space="preserve">）：是否需要在红外路上做人形检测。
 待决策期间的实现行为：按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不做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实现 —— 理由：做进去会打破 </t>
    </r>
    <r>
      <rPr>
        <sz val="10"/>
        <rFont val="Arial"/>
        <family val="0"/>
        <charset val="1"/>
      </rPr>
      <t xml:space="preserve">PER-50 </t>
    </r>
    <r>
      <rPr>
        <sz val="10"/>
        <rFont val="Noto Sans CJK SC"/>
        <family val="2"/>
      </rPr>
      <t xml:space="preserve">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零算力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前提，需重做 </t>
    </r>
    <r>
      <rPr>
        <sz val="10"/>
        <rFont val="Arial"/>
        <family val="0"/>
        <charset val="1"/>
      </rPr>
      <t xml:space="preserve">Orin </t>
    </r>
    <r>
      <rPr>
        <sz val="10"/>
        <rFont val="Noto Sans CJK SC"/>
        <family val="2"/>
      </rPr>
      <t xml:space="preserve">算力预算并与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域⑥ 仲裁联动， 而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先不做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事后再加是加一路推理服务，不改现有链路； 失效方向：少做不影响安全，多做会挤占感知常驻池（</t>
    </r>
    <r>
      <rPr>
        <sz val="10"/>
        <rFont val="Arial"/>
        <family val="0"/>
        <charset val="1"/>
      </rPr>
      <t xml:space="preserve">AI-70</t>
    </r>
    <r>
      <rPr>
        <sz val="10"/>
        <rFont val="Noto Sans CJK SC"/>
        <family val="2"/>
      </rPr>
      <t xml:space="preserve">）</t>
    </r>
  </si>
  <si>
    <t xml:space="preserve">PER-53</t>
  </si>
  <si>
    <r>
      <rPr>
        <sz val="10"/>
        <rFont val="Noto Sans CJK SC"/>
        <family val="2"/>
      </rPr>
      <t xml:space="preserve">夜间感知（</t>
    </r>
    <r>
      <rPr>
        <sz val="10"/>
        <rFont val="Arial"/>
        <family val="0"/>
        <charset val="1"/>
      </rPr>
      <t xml:space="preserve">§6.6</t>
    </r>
    <r>
      <rPr>
        <sz val="10"/>
        <rFont val="Noto Sans CJK SC"/>
        <family val="2"/>
      </rPr>
      <t xml:space="preserve">）与布控球的关系</t>
    </r>
  </si>
  <si>
    <r>
      <rPr>
        <sz val="10"/>
        <rFont val="Noto Sans CJK SC"/>
        <family val="2"/>
      </rPr>
      <t xml:space="preserve">夜间感知（</t>
    </r>
    <r>
      <rPr>
        <sz val="10"/>
        <rFont val="Arial"/>
        <family val="0"/>
        <charset val="1"/>
      </rPr>
      <t xml:space="preserve">§6.6</t>
    </r>
    <r>
      <rPr>
        <sz val="10"/>
        <rFont val="Noto Sans CJK SC"/>
        <family val="2"/>
      </rPr>
      <t xml:space="preserve">）与布控球的关系：红外相机是夜间观察手段， 但当前不作为夜间感知（</t>
    </r>
    <r>
      <rPr>
        <sz val="10"/>
        <rFont val="Arial"/>
        <family val="0"/>
        <charset val="1"/>
      </rPr>
      <t xml:space="preserve">PER-40~43</t>
    </r>
    <r>
      <rPr>
        <sz val="10"/>
        <rFont val="Noto Sans CJK SC"/>
        <family val="2"/>
      </rPr>
      <t xml:space="preserve">）的技术方案 —— 理由同 </t>
    </r>
    <r>
      <rPr>
        <sz val="10"/>
        <rFont val="Arial"/>
        <family val="0"/>
        <charset val="1"/>
      </rPr>
      <t xml:space="preserve">PER-52</t>
    </r>
    <r>
      <rPr>
        <sz val="10"/>
        <rFont val="Noto Sans CJK SC"/>
        <family val="2"/>
      </rPr>
      <t xml:space="preserve">。 夜间感知仍以「探照灯常亮补光 </t>
    </r>
    <r>
      <rPr>
        <sz val="10"/>
        <rFont val="Arial"/>
        <family val="0"/>
        <charset val="1"/>
      </rPr>
      <t xml:space="preserve">+ 336L </t>
    </r>
    <r>
      <rPr>
        <sz val="10"/>
        <rFont val="Noto Sans CJK SC"/>
        <family val="2"/>
      </rPr>
      <t xml:space="preserve">主动 </t>
    </r>
    <r>
      <rPr>
        <sz val="10"/>
        <rFont val="Arial"/>
        <family val="0"/>
        <charset val="1"/>
      </rPr>
      <t xml:space="preserve">IR + </t>
    </r>
    <r>
      <rPr>
        <sz val="10"/>
        <rFont val="Noto Sans CJK SC"/>
        <family val="2"/>
      </rPr>
      <t xml:space="preserve">保守限速」为方案</t>
    </r>
  </si>
  <si>
    <t xml:space="preserve">PER-54</t>
  </si>
  <si>
    <r>
      <rPr>
        <sz val="10"/>
        <rFont val="Noto Sans CJK SC"/>
        <family val="2"/>
      </rPr>
      <t xml:space="preserve">「云台在动」是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有人正在主动观察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的强信号，应作为一等状态量发布（供 </t>
    </r>
    <r>
      <rPr>
        <sz val="10"/>
        <rFont val="Arial"/>
        <family val="0"/>
        <charset val="1"/>
      </rPr>
      <t xml:space="preserve">P2 </t>
    </r>
    <r>
      <rPr>
        <sz val="10"/>
        <rFont val="Noto Sans CJK SC"/>
        <family val="2"/>
      </rPr>
      <t xml:space="preserve">抑制自动行为抢占、供事件系统标注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此段有人在…</t>
    </r>
  </si>
  <si>
    <r>
      <rPr>
        <sz val="10"/>
        <rFont val="Noto Sans CJK SC"/>
        <family val="2"/>
      </rPr>
      <t xml:space="preserve">「云台在动」是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有人正在主动观察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的强信号，应作为一等状态量发布（供 </t>
    </r>
    <r>
      <rPr>
        <sz val="10"/>
        <rFont val="Arial"/>
        <family val="0"/>
        <charset val="1"/>
      </rPr>
      <t xml:space="preserve">P2 </t>
    </r>
    <r>
      <rPr>
        <sz val="10"/>
        <rFont val="Noto Sans CJK SC"/>
        <family val="2"/>
      </rPr>
      <t xml:space="preserve">抑制自动行为抢占、供事件系统标注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此段有人在看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）。 这个信号免费可得（域⑤ 持有者天然知道）， 不写下来就会被各自重复推断。
 </t>
    </r>
    <r>
      <rPr>
        <sz val="10"/>
        <rFont val="Arial"/>
        <family val="0"/>
        <charset val="1"/>
      </rPr>
      <t xml:space="preserve">2026-08-05 </t>
    </r>
    <r>
      <rPr>
        <sz val="10"/>
        <rFont val="Noto Sans CJK SC"/>
        <family val="2"/>
      </rPr>
      <t xml:space="preserve">订正：括号内原列有「供 </t>
    </r>
    <r>
      <rPr>
        <sz val="10"/>
        <rFont val="Arial"/>
        <family val="0"/>
        <charset val="1"/>
      </rPr>
      <t xml:space="preserve">P5 </t>
    </r>
    <r>
      <rPr>
        <sz val="10"/>
        <rFont val="Noto Sans CJK SC"/>
        <family val="2"/>
      </rPr>
      <t xml:space="preserve">带宽让路 </t>
    </r>
    <r>
      <rPr>
        <sz val="10"/>
        <rFont val="Arial"/>
        <family val="0"/>
        <charset val="1"/>
      </rPr>
      <t xml:space="preserve">COM-58</t>
    </r>
    <r>
      <rPr>
        <sz val="10"/>
        <rFont val="Noto Sans CJK SC"/>
        <family val="2"/>
      </rPr>
      <t xml:space="preserve">」这一项，随云台码率控制取消删除。
 本条「应作为一等状态量发布」的主张必须保留 —— 它是 </t>
    </r>
    <r>
      <rPr>
        <sz val="10"/>
        <rFont val="Arial"/>
        <family val="0"/>
        <charset val="1"/>
      </rPr>
      <t xml:space="preserve">state/mode.ptz.moving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14 §4.4.3 BR-0a</t>
    </r>
    <r>
      <rPr>
        <sz val="10"/>
        <rFont val="Noto Sans CJK SC"/>
        <family val="2"/>
      </rPr>
      <t xml:space="preserve">）存在的需求源，而 </t>
    </r>
    <r>
      <rPr>
        <sz val="10"/>
        <rFont val="Arial"/>
        <family val="0"/>
        <charset val="1"/>
      </rPr>
      <t xml:space="preserve">ptz.moving </t>
    </r>
    <r>
      <rPr>
        <sz val="10"/>
        <rFont val="Noto Sans CJK SC"/>
        <family val="2"/>
      </rPr>
      <t xml:space="preserve">又是 </t>
    </r>
    <r>
      <rPr>
        <sz val="10"/>
        <rFont val="Arial"/>
        <family val="0"/>
        <charset val="1"/>
      </rPr>
      <t xml:space="preserve">11 §7.16 G32 </t>
    </r>
    <r>
      <rPr>
        <sz val="10"/>
        <rFont val="Noto Sans CJK SC"/>
        <family val="2"/>
      </rPr>
      <t xml:space="preserve">的数据源； 这条链上任何一环删错，</t>
    </r>
    <r>
      <rPr>
        <sz val="10"/>
        <rFont val="Arial"/>
        <family val="0"/>
        <charset val="1"/>
      </rPr>
      <t xml:space="preserve">G32 </t>
    </r>
    <r>
      <rPr>
        <sz val="10"/>
        <rFont val="Noto Sans CJK SC"/>
        <family val="2"/>
      </rPr>
      <t xml:space="preserve">当场悬空</t>
    </r>
  </si>
  <si>
    <r>
      <rPr>
        <sz val="10"/>
        <rFont val="Arial"/>
        <family val="0"/>
        <charset val="1"/>
      </rPr>
      <t xml:space="preserve">F5 / 7.1 </t>
    </r>
    <r>
      <rPr>
        <sz val="10"/>
        <rFont val="Noto Sans CJK SC"/>
        <family val="2"/>
      </rPr>
      <t xml:space="preserve">任务来源</t>
    </r>
  </si>
  <si>
    <t xml:space="preserve">TSK-01</t>
  </si>
  <si>
    <r>
      <rPr>
        <sz val="10"/>
        <rFont val="Noto Sans CJK SC"/>
        <family val="2"/>
      </rPr>
      <t xml:space="preserve">云端通过 </t>
    </r>
    <r>
      <rPr>
        <sz val="10"/>
        <rFont val="Arial"/>
        <family val="0"/>
        <charset val="1"/>
      </rPr>
      <t xml:space="preserve">Zenoh </t>
    </r>
    <r>
      <rPr>
        <sz val="10"/>
        <rFont val="Noto Sans CJK SC"/>
        <family val="2"/>
      </rPr>
      <t xml:space="preserve">下发 </t>
    </r>
    <r>
      <rPr>
        <sz val="10"/>
        <rFont val="Arial"/>
        <family val="0"/>
        <charset val="1"/>
      </rPr>
      <t xml:space="preserve">JSON </t>
    </r>
    <r>
      <rPr>
        <sz val="10"/>
        <rFont val="Noto Sans CJK SC"/>
        <family val="2"/>
      </rPr>
      <t xml:space="preserve">格式文本任务指令，机器人解析并执行</t>
    </r>
  </si>
  <si>
    <r>
      <rPr>
        <sz val="10"/>
        <rFont val="Noto Sans CJK SC"/>
        <family val="2"/>
      </rPr>
      <t xml:space="preserve">【云端联调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真机】</t>
    </r>
    <r>
      <rPr>
        <sz val="10"/>
        <rFont val="Arial"/>
        <family val="0"/>
        <charset val="1"/>
      </rPr>
      <t xml:space="preserve">Qt </t>
    </r>
    <r>
      <rPr>
        <sz val="10"/>
        <rFont val="Noto Sans CJK SC"/>
        <family val="2"/>
      </rPr>
      <t xml:space="preserve">下发任务，核对受理回执、</t>
    </r>
    <r>
      <rPr>
        <sz val="10"/>
        <rFont val="Arial"/>
        <family val="0"/>
        <charset val="1"/>
      </rPr>
      <t xml:space="preserve">state/task </t>
    </r>
    <r>
      <rPr>
        <sz val="10"/>
        <rFont val="Noto Sans CJK SC"/>
        <family val="2"/>
      </rPr>
      <t xml:space="preserve">状态流转、进度上报与机器人实际执行。</t>
    </r>
  </si>
  <si>
    <r>
      <rPr>
        <sz val="10"/>
        <rFont val="Arial"/>
        <family val="0"/>
        <charset val="1"/>
      </rPr>
      <t xml:space="preserve">✅ 09-04 </t>
    </r>
    <r>
      <rPr>
        <sz val="10"/>
        <rFont val="Noto Sans CJK SC"/>
        <family val="2"/>
      </rPr>
      <t xml:space="preserve">与甲方 </t>
    </r>
    <r>
      <rPr>
        <sz val="10"/>
        <rFont val="Arial"/>
        <family val="0"/>
        <charset val="1"/>
      </rPr>
      <t xml:space="preserve">Qt v2.0 </t>
    </r>
    <r>
      <rPr>
        <sz val="10"/>
        <rFont val="Noto Sans CJK SC"/>
        <family val="2"/>
      </rPr>
      <t xml:space="preserve">首轮联调，</t>
    </r>
    <r>
      <rPr>
        <sz val="10"/>
        <rFont val="Arial"/>
        <family val="0"/>
        <charset val="1"/>
      </rPr>
      <t xml:space="preserve">T01-T06 </t>
    </r>
    <r>
      <rPr>
        <sz val="10"/>
        <rFont val="Noto Sans CJK SC"/>
        <family val="2"/>
      </rPr>
      <t xml:space="preserve">都下发过；⚠ 任务执行器未接线，受理后机器人不动</t>
    </r>
  </si>
  <si>
    <t xml:space="preserve">TSK-02</t>
  </si>
  <si>
    <r>
      <rPr>
        <sz val="10"/>
        <rFont val="Noto Sans CJK SC"/>
        <family val="2"/>
      </rPr>
      <t xml:space="preserve">语音指令（</t>
    </r>
    <r>
      <rPr>
        <sz val="10"/>
        <rFont val="Arial"/>
        <family val="0"/>
        <charset val="1"/>
      </rPr>
      <t xml:space="preserve">A / C / E </t>
    </r>
    <r>
      <rPr>
        <sz val="10"/>
        <rFont val="Noto Sans CJK SC"/>
        <family val="2"/>
      </rPr>
      <t xml:space="preserve">模式）经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层翻译后同样产生任务</t>
    </r>
  </si>
  <si>
    <t xml:space="preserve">TSK-03</t>
  </si>
  <si>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点击导航产生任务（见 </t>
    </r>
    <r>
      <rPr>
        <sz val="10"/>
        <rFont val="Arial"/>
        <family val="0"/>
        <charset val="1"/>
      </rPr>
      <t xml:space="preserve">HMI-10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</si>
  <si>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未核（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点击导航）</t>
    </r>
  </si>
  <si>
    <t xml:space="preserve">TSK-04</t>
  </si>
  <si>
    <r>
      <rPr>
        <sz val="10"/>
        <rFont val="Noto Sans CJK SC"/>
        <family val="2"/>
      </rPr>
      <t xml:space="preserve">系统自主行为（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模式触发）产生内部任务</t>
    </r>
  </si>
  <si>
    <r>
      <rPr>
        <sz val="10"/>
        <rFont val="Noto Sans CJK SC"/>
        <family val="2"/>
      </rPr>
      <t xml:space="preserve">按 </t>
    </r>
    <r>
      <rPr>
        <sz val="10"/>
        <rFont val="Arial"/>
        <family val="0"/>
        <charset val="1"/>
      </rPr>
      <t xml:space="preserve">D-B1 </t>
    </r>
    <r>
      <rPr>
        <sz val="10"/>
        <rFont val="Noto Sans CJK SC"/>
        <family val="2"/>
      </rPr>
      <t xml:space="preserve">裁定不实现（由 </t>
    </r>
    <r>
      <rPr>
        <sz val="10"/>
        <rFont val="Arial"/>
        <family val="0"/>
        <charset val="1"/>
      </rPr>
      <t xml:space="preserve">state/mode + </t>
    </r>
    <r>
      <rPr>
        <sz val="10"/>
        <rFont val="Noto Sans CJK SC"/>
        <family val="2"/>
      </rPr>
      <t xml:space="preserve">任务让行 </t>
    </r>
    <r>
      <rPr>
        <sz val="10"/>
        <rFont val="Arial"/>
        <family val="0"/>
        <charset val="1"/>
      </rPr>
      <t xml:space="preserve">mode_takeover </t>
    </r>
    <r>
      <rPr>
        <sz val="10"/>
        <rFont val="Noto Sans CJK SC"/>
        <family val="2"/>
      </rPr>
      <t xml:space="preserve">替代）</t>
    </r>
  </si>
  <si>
    <t xml:space="preserve">TSK-05</t>
  </si>
  <si>
    <r>
      <rPr>
        <sz val="10"/>
        <rFont val="Noto Sans CJK SC"/>
        <family val="2"/>
      </rPr>
      <t xml:space="preserve">多任务源必须统一仲裁，见 </t>
    </r>
    <r>
      <rPr>
        <sz val="10"/>
        <rFont val="Arial"/>
        <family val="0"/>
        <charset val="1"/>
      </rPr>
      <t xml:space="preserve">CON-01</t>
    </r>
  </si>
  <si>
    <r>
      <rPr>
        <sz val="10"/>
        <rFont val="Noto Sans CJK SC"/>
        <family val="2"/>
      </rPr>
      <t xml:space="preserve">多任务源必须统一仲裁，见 </t>
    </r>
    <r>
      <rPr>
        <sz val="10"/>
        <rFont val="Arial"/>
        <family val="0"/>
        <charset val="1"/>
      </rPr>
      <t xml:space="preserve">CON-01</t>
    </r>
    <r>
      <rPr>
        <sz val="10"/>
        <rFont val="Noto Sans CJK SC"/>
        <family val="2"/>
      </rPr>
      <t xml:space="preserve">。建议优先级：急停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围栏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避障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云端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微信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现场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自主</t>
    </r>
  </si>
  <si>
    <t xml:space="preserve">🟡 单测</t>
  </si>
  <si>
    <r>
      <rPr>
        <sz val="10"/>
        <rFont val="Arial"/>
        <family val="0"/>
        <charset val="1"/>
      </rPr>
      <t xml:space="preserve">F5 / 7.2 </t>
    </r>
    <r>
      <rPr>
        <sz val="10"/>
        <rFont val="Noto Sans CJK SC"/>
        <family val="2"/>
      </rPr>
      <t xml:space="preserve">任务生命周期</t>
    </r>
  </si>
  <si>
    <t xml:space="preserve">TSK-10</t>
  </si>
  <si>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已实现任务处理执行调度单元，支持 </t>
    </r>
    <r>
      <rPr>
        <sz val="10"/>
        <rFont val="Arial"/>
        <family val="0"/>
        <charset val="1"/>
      </rPr>
      <t xml:space="preserve">SQLite3 </t>
    </r>
    <r>
      <rPr>
        <sz val="10"/>
        <rFont val="Noto Sans CJK SC"/>
        <family val="2"/>
      </rPr>
      <t xml:space="preserve">持久化</t>
    </r>
  </si>
  <si>
    <r>
      <rPr>
        <sz val="10"/>
        <rFont val="Noto Sans CJK SC"/>
        <family val="2"/>
      </rPr>
      <t xml:space="preserve">🟡 单测（</t>
    </r>
    <r>
      <rPr>
        <sz val="10"/>
        <rFont val="Arial"/>
        <family val="0"/>
        <charset val="1"/>
      </rPr>
      <t xml:space="preserve">SQLite / aiosqlite </t>
    </r>
    <r>
      <rPr>
        <sz val="10"/>
        <rFont val="Noto Sans CJK SC"/>
        <family val="2"/>
      </rPr>
      <t xml:space="preserve">持久化）</t>
    </r>
  </si>
  <si>
    <t xml:space="preserve">TSK-11</t>
  </si>
  <si>
    <t xml:space="preserve">任务应为有生命周期的状态机，须包含以下机制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</si>
  <si>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任务应为有生命周期的状态机，须包含以下机制：</t>
    </r>
  </si>
  <si>
    <r>
      <rPr>
        <sz val="10"/>
        <rFont val="Noto Sans CJK SC"/>
        <family val="2"/>
      </rPr>
      <t xml:space="preserve">🟡 状态机单测；❌ 执行器未接线（</t>
    </r>
    <r>
      <rPr>
        <sz val="10"/>
        <rFont val="Arial"/>
        <family val="0"/>
        <charset val="1"/>
      </rPr>
      <t xml:space="preserve">goto / patrol / return_home / charge / follow / standby / teach</t>
    </r>
    <r>
      <rPr>
        <sz val="10"/>
        <rFont val="Noto Sans CJK SC"/>
        <family val="2"/>
      </rPr>
      <t xml:space="preserve">）</t>
    </r>
  </si>
  <si>
    <t xml:space="preserve">TSK-12</t>
  </si>
  <si>
    <r>
      <rPr>
        <sz val="10"/>
        <rFont val="Arial"/>
        <family val="0"/>
        <charset val="1"/>
      </rPr>
      <t xml:space="preserve">task_id + </t>
    </r>
    <r>
      <rPr>
        <sz val="10"/>
        <rFont val="Noto Sans CJK SC"/>
        <family val="2"/>
      </rPr>
      <t xml:space="preserve">幂等处理 —— 防止网络重传导致同一任务执行两次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</si>
  <si>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task_id + </t>
    </r>
    <r>
      <rPr>
        <sz val="10"/>
        <rFont val="Noto Sans CJK SC"/>
        <family val="2"/>
      </rPr>
      <t xml:space="preserve">幂等处理 —— 防止网络重传导致同一任务执行两次</t>
    </r>
  </si>
  <si>
    <t xml:space="preserve">TSK-13</t>
  </si>
  <si>
    <r>
      <rPr>
        <sz val="10"/>
        <rFont val="Noto Sans CJK SC"/>
        <family val="2"/>
      </rPr>
      <t xml:space="preserve">接受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拒绝应答 —— 云端须能确知任务是否被接收，而非盲等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</si>
  <si>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接受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拒绝应答 —— 云端须能确知任务是否被接收，而非盲等</t>
    </r>
  </si>
  <si>
    <r>
      <rPr>
        <sz val="10"/>
        <rFont val="Noto Sans CJK SC"/>
        <family val="2"/>
      </rPr>
      <t xml:space="preserve">✅ 受理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拒绝应答（</t>
    </r>
    <r>
      <rPr>
        <sz val="10"/>
        <rFont val="Arial"/>
        <family val="0"/>
        <charset val="1"/>
      </rPr>
      <t xml:space="preserve">09-04 </t>
    </r>
    <r>
      <rPr>
        <sz val="10"/>
        <rFont val="Noto Sans CJK SC"/>
        <family val="2"/>
      </rPr>
      <t xml:space="preserve">联调）</t>
    </r>
  </si>
  <si>
    <t xml:space="preserve">TSK-14</t>
  </si>
  <si>
    <t xml:space="preserve">前置校验 —— 路径点是否在围栏内、电量是否充足、本体能力是否支持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</si>
  <si>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前置校验 —— 路径点是否在围栏内、电量是否充足、本体能力是否支持。不通过则拒绝并给出原因</t>
    </r>
  </si>
  <si>
    <t xml:space="preserve">TSK-15</t>
  </si>
  <si>
    <t xml:space="preserve">进度上报 —— 云端可见执行进度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</si>
  <si>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进度上报 —— 云端可见执行进度</t>
    </r>
  </si>
  <si>
    <t xml:space="preserve">🟡 未核（执行器未接线，无真实进度）</t>
  </si>
  <si>
    <t xml:space="preserve">TSK-16</t>
  </si>
  <si>
    <r>
      <rPr>
        <sz val="10"/>
        <rFont val="Noto Sans CJK SC"/>
        <family val="2"/>
      </rPr>
      <t xml:space="preserve">取消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抢占语义 —— 执行中任务被新任务打断时的行为必须明确定义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</si>
  <si>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取消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抢占语义 —— 执行中任务被新任务打断时的行为必须明确定义</t>
    </r>
  </si>
  <si>
    <t xml:space="preserve">TSK-17</t>
  </si>
  <si>
    <r>
      <rPr>
        <sz val="10"/>
        <rFont val="Noto Sans CJK SC"/>
        <family val="2"/>
      </rPr>
      <t xml:space="preserve">终态定义 —— 完成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失败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取消，失败必须附带原因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</si>
  <si>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终态定义 —— 完成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失败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取消，失败必须附带原因</t>
    </r>
  </si>
  <si>
    <t xml:space="preserve">TSK-18</t>
  </si>
  <si>
    <r>
      <rPr>
        <sz val="10"/>
        <rFont val="Arial"/>
        <family val="0"/>
        <charset val="1"/>
      </rPr>
      <t xml:space="preserve">SQLite </t>
    </r>
    <r>
      <rPr>
        <sz val="10"/>
        <rFont val="Noto Sans CJK SC"/>
        <family val="2"/>
      </rPr>
      <t xml:space="preserve">建议启用 </t>
    </r>
    <r>
      <rPr>
        <sz val="10"/>
        <rFont val="Arial"/>
        <family val="0"/>
        <charset val="1"/>
      </rPr>
      <t xml:space="preserve">WAL </t>
    </r>
    <r>
      <rPr>
        <sz val="10"/>
        <rFont val="Noto Sans CJK SC"/>
        <family val="2"/>
      </rPr>
      <t xml:space="preserve">模式并定期 </t>
    </r>
    <r>
      <rPr>
        <sz val="10"/>
        <rFont val="Arial"/>
        <family val="0"/>
        <charset val="1"/>
      </rPr>
      <t xml:space="preserve">checkpoint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</si>
  <si>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SQLite </t>
    </r>
    <r>
      <rPr>
        <sz val="10"/>
        <rFont val="Noto Sans CJK SC"/>
        <family val="2"/>
      </rPr>
      <t xml:space="preserve">建议启用 </t>
    </r>
    <r>
      <rPr>
        <sz val="10"/>
        <rFont val="Arial"/>
        <family val="0"/>
        <charset val="1"/>
      </rPr>
      <t xml:space="preserve">WAL </t>
    </r>
    <r>
      <rPr>
        <sz val="10"/>
        <rFont val="Noto Sans CJK SC"/>
        <family val="2"/>
      </rPr>
      <t xml:space="preserve">模式并定期 </t>
    </r>
    <r>
      <rPr>
        <sz val="10"/>
        <rFont val="Arial"/>
        <family val="0"/>
        <charset val="1"/>
      </rPr>
      <t xml:space="preserve">checkpoint</t>
    </r>
    <r>
      <rPr>
        <sz val="10"/>
        <rFont val="Noto Sans CJK SC"/>
        <family val="2"/>
      </rPr>
      <t xml:space="preserve">； 其写入操作（</t>
    </r>
    <r>
      <rPr>
        <sz val="10"/>
        <rFont val="Arial"/>
        <family val="0"/>
        <charset val="1"/>
      </rPr>
      <t xml:space="preserve">fsync 5–50 ms</t>
    </r>
    <r>
      <rPr>
        <sz val="10"/>
        <rFont val="Noto Sans CJK SC"/>
        <family val="2"/>
      </rPr>
      <t xml:space="preserve">）持有 </t>
    </r>
    <r>
      <rPr>
        <sz val="10"/>
        <rFont val="Arial"/>
        <family val="0"/>
        <charset val="1"/>
      </rPr>
      <t xml:space="preserve">GIL</t>
    </r>
    <r>
      <rPr>
        <sz val="10"/>
        <rFont val="Noto Sans CJK SC"/>
        <family val="2"/>
      </rPr>
      <t xml:space="preserve">，必须与 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分属不同进程（见 </t>
    </r>
    <r>
      <rPr>
        <sz val="10"/>
        <rFont val="Arial"/>
        <family val="0"/>
        <charset val="1"/>
      </rPr>
      <t xml:space="preserve">NAV-36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§18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</si>
  <si>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F5 / 7.3 </t>
    </r>
    <r>
      <rPr>
        <sz val="10"/>
        <rFont val="Noto Sans CJK SC"/>
        <family val="2"/>
      </rPr>
      <t xml:space="preserve">断网续跑</t>
    </r>
  </si>
  <si>
    <t xml:space="preserve">TSK-20</t>
  </si>
  <si>
    <t xml:space="preserve">断网时继续执行当前任务（自主机器人的核心价值），但须有失联超时兜底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</si>
  <si>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断网时继续执行当前任务（自主机器人的核心价值），但须有失联超时兜底</t>
    </r>
  </si>
  <si>
    <t xml:space="preserve">TSK-21</t>
  </si>
  <si>
    <r>
      <rPr>
        <sz val="10"/>
        <rFont val="Noto Sans CJK SC"/>
        <family val="2"/>
      </rPr>
      <t xml:space="preserve">明确待定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待甲方（ </t>
    </r>
    <r>
      <rPr>
        <sz val="10"/>
        <rFont val="Arial"/>
        <family val="0"/>
        <charset val="1"/>
      </rPr>
      <t xml:space="preserve">§0.4a③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15 Q-P3-5 —— </t>
    </r>
    <r>
      <rPr>
        <sz val="10"/>
        <rFont val="Noto Sans CJK SC"/>
        <family val="2"/>
      </rPr>
      <t xml:space="preserve">待定期间的实现行为</t>
    </r>
  </si>
  <si>
    <r>
      <rPr>
        <sz val="10"/>
        <rFont val="Noto Sans CJK SC"/>
        <family val="2"/>
      </rPr>
      <t xml:space="preserve">明确待定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待甲方（ </t>
    </r>
    <r>
      <rPr>
        <sz val="10"/>
        <rFont val="Arial"/>
        <family val="0"/>
        <charset val="1"/>
      </rPr>
      <t xml:space="preserve">§0.4a③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15 Q-P3-5 —— </t>
    </r>
    <r>
      <rPr>
        <sz val="10"/>
        <rFont val="Noto Sans CJK SC"/>
        <family val="2"/>
      </rPr>
      <t xml:space="preserve">待定期间的实现行为：</t>
    </r>
    <r>
      <rPr>
        <sz val="10"/>
        <rFont val="Arial"/>
        <family val="0"/>
        <charset val="1"/>
      </rPr>
      <t xml:space="preserve">rtb_s </t>
    </r>
    <r>
      <rPr>
        <sz val="10"/>
        <rFont val="Noto Sans CJK SC"/>
        <family val="2"/>
      </rPr>
      <t xml:space="preserve">缺省 </t>
    </r>
    <r>
      <rPr>
        <sz val="10"/>
        <rFont val="Arial"/>
        <family val="0"/>
        <charset val="1"/>
      </rPr>
      <t xml:space="preserve">30 min</t>
    </r>
    <r>
      <rPr>
        <sz val="10"/>
        <rFont val="Noto Sans CJK SC"/>
        <family val="2"/>
      </rPr>
      <t xml:space="preserve">，到阈值后 </t>
    </r>
    <r>
      <rPr>
        <sz val="10"/>
        <rFont val="Arial"/>
        <family val="0"/>
        <charset val="1"/>
      </rPr>
      <t xml:space="preserve">P3 INSERT </t>
    </r>
    <r>
      <rPr>
        <sz val="10"/>
        <rFont val="Noto Sans CJK SC"/>
        <family val="2"/>
      </rPr>
      <t xml:space="preserve">一条 </t>
    </r>
    <r>
      <rPr>
        <sz val="10"/>
        <rFont val="Arial"/>
        <family val="0"/>
        <charset val="1"/>
      </rPr>
      <t xml:space="preserve">return_home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source='charge' · priority=95 · resume_policy='continue'</t>
    </r>
    <r>
      <rPr>
        <sz val="10"/>
        <rFont val="Noto Sans CJK SC"/>
        <family val="2"/>
      </rPr>
      <t xml:space="preserve">）； 默认偏大，因 </t>
    </r>
    <r>
      <rPr>
        <sz val="10"/>
        <rFont val="Arial"/>
        <family val="0"/>
        <charset val="1"/>
      </rPr>
      <t xml:space="preserve">U36 </t>
    </r>
    <r>
      <rPr>
        <sz val="10"/>
        <rFont val="Noto Sans CJK SC"/>
        <family val="2"/>
      </rPr>
      <t xml:space="preserve">已保证断网期间安全）：</t>
    </r>
  </si>
  <si>
    <t xml:space="preserve">待甲方确认</t>
  </si>
  <si>
    <t xml:space="preserve">TSK-22</t>
  </si>
  <si>
    <r>
      <rPr>
        <sz val="10"/>
        <rFont val="Noto Sans CJK SC"/>
        <family val="2"/>
      </rPr>
      <t xml:space="preserve">断网期间禁止接受新任务、禁止进入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模式自主喊话（无法上报无法被监管）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</si>
  <si>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断网期间禁止接受新任务、禁止进入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模式自主喊话（无法上报无法被监管）</t>
    </r>
  </si>
  <si>
    <r>
      <rPr>
        <sz val="10"/>
        <rFont val="Arial"/>
        <family val="0"/>
        <charset val="1"/>
      </rPr>
      <t xml:space="preserve">F5 / 7.4 </t>
    </r>
    <r>
      <rPr>
        <sz val="10"/>
        <rFont val="Noto Sans CJK SC"/>
        <family val="2"/>
      </rPr>
      <t xml:space="preserve">续航与充电</t>
    </r>
  </si>
  <si>
    <t xml:space="preserve">TSK-30</t>
  </si>
  <si>
    <r>
      <rPr>
        <sz val="10"/>
        <rFont val="Noto Sans CJK SC"/>
        <family val="2"/>
      </rPr>
      <t xml:space="preserve">低电返航、自动充电、任务被电量中断后的恢复策略已在 </t>
    </r>
    <r>
      <rPr>
        <sz val="10"/>
        <rFont val="Arial"/>
        <family val="0"/>
        <charset val="1"/>
      </rPr>
      <t xml:space="preserve">§8 </t>
    </r>
    <r>
      <rPr>
        <sz val="10"/>
        <rFont val="Noto Sans CJK SC"/>
        <family val="2"/>
      </rPr>
      <t xml:space="preserve">充电与续航（</t>
    </r>
    <r>
      <rPr>
        <sz val="10"/>
        <rFont val="Arial"/>
        <family val="0"/>
        <charset val="1"/>
      </rPr>
      <t xml:space="preserve">CHG</t>
    </r>
    <r>
      <rPr>
        <sz val="10"/>
        <rFont val="Noto Sans CJK SC"/>
        <family val="2"/>
      </rPr>
      <t xml:space="preserve">）中定义</t>
    </r>
  </si>
  <si>
    <r>
      <rPr>
        <sz val="10"/>
        <rFont val="Noto Sans CJK SC"/>
        <family val="2"/>
      </rPr>
      <t xml:space="preserve">低电返航、自动充电、任务被电量中断后的恢复策略已在 </t>
    </r>
    <r>
      <rPr>
        <sz val="10"/>
        <rFont val="Arial"/>
        <family val="0"/>
        <charset val="1"/>
      </rPr>
      <t xml:space="preserve">§8 </t>
    </r>
    <r>
      <rPr>
        <sz val="10"/>
        <rFont val="Noto Sans CJK SC"/>
        <family val="2"/>
      </rPr>
      <t xml:space="preserve">充电与续航（</t>
    </r>
    <r>
      <rPr>
        <sz val="10"/>
        <rFont val="Arial"/>
        <family val="0"/>
        <charset val="1"/>
      </rPr>
      <t xml:space="preserve">CHG</t>
    </r>
    <r>
      <rPr>
        <sz val="10"/>
        <rFont val="Noto Sans CJK SC"/>
        <family val="2"/>
      </rPr>
      <t xml:space="preserve">）中定义。
 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订正： 已裁定 —— </t>
    </r>
    <r>
      <rPr>
        <sz val="10"/>
        <rFont val="Arial"/>
        <family val="0"/>
        <charset val="1"/>
      </rPr>
      <t xml:space="preserve">suspended </t>
    </r>
    <r>
      <rPr>
        <sz val="10"/>
        <rFont val="Noto Sans CJK SC"/>
        <family val="2"/>
      </rPr>
      <t xml:space="preserve">＋ 断点续跑（</t>
    </r>
    <r>
      <rPr>
        <sz val="10"/>
        <rFont val="Arial"/>
        <family val="0"/>
        <charset val="1"/>
      </rPr>
      <t xml:space="preserve">§8.4 </t>
    </r>
    <r>
      <rPr>
        <sz val="10"/>
        <rFont val="Noto Sans CJK SC"/>
        <family val="2"/>
      </rPr>
      <t xml:space="preserve">裁定框； 依 </t>
    </r>
    <r>
      <rPr>
        <sz val="10"/>
        <rFont val="Arial"/>
        <family val="0"/>
        <charset val="1"/>
      </rPr>
      <t xml:space="preserve">U07a </t>
    </r>
    <r>
      <rPr>
        <sz val="10"/>
        <rFont val="Noto Sans CJK SC"/>
        <family val="2"/>
      </rPr>
      <t xml:space="preserve">推定，待甲方书面确认）。 任务状态机与 </t>
    </r>
    <r>
      <rPr>
        <sz val="10"/>
        <rFont val="Arial"/>
        <family val="0"/>
        <charset val="1"/>
      </rPr>
      <t xml:space="preserve">SQLite schema </t>
    </r>
    <r>
      <rPr>
        <sz val="10"/>
        <rFont val="Noto Sans CJK SC"/>
        <family val="2"/>
      </rPr>
      <t xml:space="preserve">按 </t>
    </r>
    <r>
      <rPr>
        <sz val="10"/>
        <rFont val="Arial"/>
        <family val="0"/>
        <charset val="1"/>
      </rPr>
      <t xml:space="preserve">CHG-32/33/34 </t>
    </r>
    <r>
      <rPr>
        <sz val="10"/>
        <rFont val="Noto Sans CJK SC"/>
        <family val="2"/>
      </rPr>
      <t xml:space="preserve">实现，不再阻塞编码</t>
    </r>
  </si>
  <si>
    <r>
      <rPr>
        <sz val="10"/>
        <rFont val="Noto Sans CJK SC"/>
        <family val="2"/>
      </rPr>
      <t xml:space="preserve">见 </t>
    </r>
    <r>
      <rPr>
        <sz val="10"/>
        <rFont val="Arial"/>
        <family val="0"/>
        <charset val="1"/>
      </rPr>
      <t xml:space="preserve">F11</t>
    </r>
  </si>
  <si>
    <r>
      <rPr>
        <sz val="10"/>
        <rFont val="Arial"/>
        <family val="0"/>
        <charset val="1"/>
      </rPr>
      <t xml:space="preserve">F6 / 10. </t>
    </r>
    <r>
      <rPr>
        <sz val="10"/>
        <rFont val="Noto Sans CJK SC"/>
        <family val="2"/>
      </rPr>
      <t xml:space="preserve">事件系统需求（</t>
    </r>
    <r>
      <rPr>
        <sz val="10"/>
        <rFont val="Arial"/>
        <family val="0"/>
        <charset val="1"/>
      </rPr>
      <t xml:space="preserve">EVT</t>
    </r>
    <r>
      <rPr>
        <sz val="10"/>
        <rFont val="Noto Sans CJK SC"/>
        <family val="2"/>
      </rPr>
      <t xml:space="preserve">）</t>
    </r>
  </si>
  <si>
    <t xml:space="preserve">EVT-01</t>
  </si>
  <si>
    <r>
      <rPr>
        <sz val="10"/>
        <rFont val="Noto Sans CJK SC"/>
        <family val="2"/>
      </rPr>
      <t xml:space="preserve">系统运行与作业过程中产生的各类事件，全部通过 </t>
    </r>
    <r>
      <rPr>
        <sz val="10"/>
        <rFont val="Arial"/>
        <family val="0"/>
        <charset val="1"/>
      </rPr>
      <t xml:space="preserve">Zenoh </t>
    </r>
    <r>
      <rPr>
        <sz val="10"/>
        <rFont val="Noto Sans CJK SC"/>
        <family val="2"/>
      </rPr>
      <t xml:space="preserve">发布，由云端计算机订阅</t>
    </r>
  </si>
  <si>
    <r>
      <rPr>
        <sz val="10"/>
        <rFont val="Noto Sans CJK SC"/>
        <family val="2"/>
      </rPr>
      <t xml:space="preserve">【联调】触发事件源，核对 </t>
    </r>
    <r>
      <rPr>
        <sz val="10"/>
        <rFont val="Arial"/>
        <family val="0"/>
        <charset val="1"/>
      </rPr>
      <t xml:space="preserve">event/** -&gt; record.db -&gt; </t>
    </r>
    <r>
      <rPr>
        <sz val="10"/>
        <rFont val="Noto Sans CJK SC"/>
        <family val="2"/>
      </rPr>
      <t xml:space="preserve">云端 </t>
    </r>
    <r>
      <rPr>
        <sz val="10"/>
        <rFont val="Arial"/>
        <family val="0"/>
        <charset val="1"/>
      </rPr>
      <t xml:space="preserve">Qt </t>
    </r>
    <r>
      <rPr>
        <sz val="10"/>
        <rFont val="Noto Sans CJK SC"/>
        <family val="2"/>
      </rPr>
      <t xml:space="preserve">显示，含分级、去重、断网补发。</t>
    </r>
  </si>
  <si>
    <t xml:space="preserve">✅ 联调在用</t>
  </si>
  <si>
    <t xml:space="preserve">EVT-02</t>
  </si>
  <si>
    <r>
      <rPr>
        <sz val="10"/>
        <rFont val="Noto Sans CJK SC"/>
        <family val="2"/>
      </rPr>
      <t xml:space="preserve">事件同时供本地 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显示</t>
    </r>
  </si>
  <si>
    <r>
      <rPr>
        <sz val="10"/>
        <rFont val="Arial"/>
        <family val="0"/>
        <charset val="1"/>
      </rPr>
      <t xml:space="preserve">🟡 HMI </t>
    </r>
    <r>
      <rPr>
        <sz val="10"/>
        <rFont val="Noto Sans CJK SC"/>
        <family val="2"/>
      </rPr>
      <t xml:space="preserve">显示未核</t>
    </r>
  </si>
  <si>
    <t xml:space="preserve">EVT-10</t>
  </si>
  <si>
    <t xml:space="preserve">事件是一等公民业务数据流，不是日志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</si>
  <si>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事件是一等公民业务数据流，不是日志。须定义统一 </t>
    </r>
    <r>
      <rPr>
        <sz val="10"/>
        <rFont val="Arial"/>
        <family val="0"/>
        <charset val="1"/>
      </rPr>
      <t xml:space="preserve">schema</t>
    </r>
  </si>
  <si>
    <t xml:space="preserve">✅</t>
  </si>
  <si>
    <t xml:space="preserve">EVT-11</t>
  </si>
  <si>
    <r>
      <rPr>
        <sz val="10"/>
        <rFont val="Arial"/>
        <family val="0"/>
        <charset val="1"/>
      </rPr>
      <t xml:space="preserve">schema </t>
    </r>
    <r>
      <rPr>
        <sz val="10"/>
        <rFont val="Noto Sans CJK SC"/>
        <family val="2"/>
      </rPr>
      <t xml:space="preserve">至少包含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</si>
  <si>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schema </t>
    </r>
    <r>
      <rPr>
        <sz val="10"/>
        <rFont val="Noto Sans CJK SC"/>
        <family val="2"/>
      </rPr>
      <t xml:space="preserve">至少包含：</t>
    </r>
    <r>
      <rPr>
        <sz val="10"/>
        <rFont val="Arial"/>
        <family val="0"/>
        <charset val="1"/>
      </rPr>
      <t xml:space="preserve">event_id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robot_id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timestamp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source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severity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category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position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related_task_id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media_ref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payload</t>
    </r>
  </si>
  <si>
    <t xml:space="preserve">EVT-12</t>
  </si>
  <si>
    <t xml:space="preserve">事件分级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</si>
  <si>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事件分级：</t>
    </r>
    <r>
      <rPr>
        <sz val="10"/>
        <rFont val="Arial"/>
        <family val="0"/>
        <charset val="1"/>
      </rPr>
      <t xml:space="preserve">INFO / WARN / ALARM / FAULT</t>
    </r>
  </si>
  <si>
    <t xml:space="preserve">EVT-13</t>
  </si>
  <si>
    <r>
      <rPr>
        <sz val="10"/>
        <rFont val="Noto Sans CJK SC"/>
        <family val="2"/>
      </rPr>
      <t xml:space="preserve">本地持久化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断网补发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</si>
  <si>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本地持久化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断网补发。</t>
    </r>
    <r>
      <rPr>
        <sz val="10"/>
        <rFont val="Arial"/>
        <family val="0"/>
        <charset val="1"/>
      </rPr>
      <t xml:space="preserve">Zenoh pub/sub </t>
    </r>
    <r>
      <rPr>
        <sz val="10"/>
        <rFont val="Noto Sans CJK SC"/>
        <family val="2"/>
      </rPr>
      <t xml:space="preserve">不保证送达，断网期间的报警事件丢失在巡防场景中不可接受</t>
    </r>
  </si>
  <si>
    <r>
      <rPr>
        <sz val="10"/>
        <rFont val="Arial"/>
        <family val="0"/>
        <charset val="1"/>
      </rPr>
      <t xml:space="preserve">✅ record.db </t>
    </r>
    <r>
      <rPr>
        <sz val="10"/>
        <rFont val="Noto Sans CJK SC"/>
        <family val="2"/>
      </rPr>
      <t xml:space="preserve">持久化（补发未单独测）</t>
    </r>
  </si>
  <si>
    <t xml:space="preserve">EVT-14</t>
  </si>
  <si>
    <t xml:space="preserve">去重与抑制窗口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</si>
  <si>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去重与抑制窗口。同一目标持续检测会产生事件洪水</t>
    </r>
  </si>
  <si>
    <t xml:space="preserve">EVT-15</t>
  </si>
  <si>
    <t xml:space="preserve">与媒体关联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</si>
  <si>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与媒体关联。报警事件须能关联抓拍图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录像片段（事件走 </t>
    </r>
    <r>
      <rPr>
        <sz val="10"/>
        <rFont val="Arial"/>
        <family val="0"/>
        <charset val="1"/>
      </rPr>
      <t xml:space="preserve">Zenoh</t>
    </r>
    <r>
      <rPr>
        <sz val="10"/>
        <rFont val="Noto Sans CJK SC"/>
        <family val="2"/>
      </rPr>
      <t xml:space="preserve">，媒体走 </t>
    </r>
    <r>
      <rPr>
        <sz val="10"/>
        <rFont val="Arial"/>
        <family val="0"/>
        <charset val="1"/>
      </rPr>
      <t xml:space="preserve">FTP</t>
    </r>
    <r>
      <rPr>
        <sz val="10"/>
        <rFont val="Noto Sans CJK SC"/>
        <family val="2"/>
      </rPr>
      <t xml:space="preserve">，事件中携带引用）</t>
    </r>
  </si>
  <si>
    <t xml:space="preserve">EVT-16</t>
  </si>
  <si>
    <r>
      <rPr>
        <sz val="10"/>
        <rFont val="Noto Sans CJK SC"/>
        <family val="2"/>
      </rPr>
      <t xml:space="preserve">仲裁器的每次授予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抢占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释放都应产生审计事件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</si>
  <si>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仲裁器的每次授予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抢占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释放都应产生审计事件。巡防系统必须能回答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当时为什么没喊话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为什么突然停车</t>
    </r>
    <r>
      <rPr>
        <sz val="10"/>
        <rFont val="Arial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</si>
  <si>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修复缺 </t>
    </r>
    <r>
      <rPr>
        <sz val="10"/>
        <rFont val="Arial"/>
        <family val="0"/>
        <charset val="1"/>
      </rPr>
      <t xml:space="preserve">eid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0995634 / 716cc07</t>
    </r>
    <r>
      <rPr>
        <sz val="10"/>
        <rFont val="Noto Sans CJK SC"/>
        <family val="2"/>
      </rPr>
      <t xml:space="preserve">）后，</t>
    </r>
    <r>
      <rPr>
        <sz val="10"/>
        <rFont val="Arial"/>
        <family val="0"/>
        <charset val="1"/>
      </rPr>
      <t xml:space="preserve">record.db </t>
    </r>
    <r>
      <rPr>
        <sz val="10"/>
        <rFont val="Noto Sans CJK SC"/>
        <family val="2"/>
      </rPr>
      <t xml:space="preserve">查到 </t>
    </r>
    <r>
      <rPr>
        <sz val="10"/>
        <rFont val="Arial"/>
        <family val="0"/>
        <charset val="1"/>
      </rPr>
      <t xml:space="preserve">arb-p2-* </t>
    </r>
    <r>
      <rPr>
        <sz val="10"/>
        <rFont val="Noto Sans CJK SC"/>
        <family val="2"/>
      </rPr>
      <t xml:space="preserve">事件。</t>
    </r>
  </si>
  <si>
    <r>
      <rPr>
        <sz val="10"/>
        <rFont val="Arial"/>
        <family val="0"/>
        <charset val="1"/>
      </rPr>
      <t xml:space="preserve">✅ 10-28 </t>
    </r>
    <r>
      <rPr>
        <sz val="10"/>
        <rFont val="Noto Sans CJK SC"/>
        <family val="2"/>
      </rPr>
      <t xml:space="preserve">修复缺 </t>
    </r>
    <r>
      <rPr>
        <sz val="10"/>
        <rFont val="Arial"/>
        <family val="0"/>
        <charset val="1"/>
      </rPr>
      <t xml:space="preserve">eid </t>
    </r>
    <r>
      <rPr>
        <sz val="10"/>
        <rFont val="Noto Sans CJK SC"/>
        <family val="2"/>
      </rPr>
      <t xml:space="preserve">后，</t>
    </r>
    <r>
      <rPr>
        <sz val="10"/>
        <rFont val="Arial"/>
        <family val="0"/>
        <charset val="1"/>
      </rPr>
      <t xml:space="preserve">record.db </t>
    </r>
    <r>
      <rPr>
        <sz val="10"/>
        <rFont val="Noto Sans CJK SC"/>
        <family val="2"/>
      </rPr>
      <t xml:space="preserve">已存下仲裁事件</t>
    </r>
  </si>
  <si>
    <t xml:space="preserve">EVT-17</t>
  </si>
  <si>
    <t xml:space="preserve">速度门的每次降速决策应产生事件（降速原因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</si>
  <si>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速度门的每次降速决策应产生事件（降速原因：自由空间不足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传感器降级 </t>
    </r>
    <r>
      <rPr>
        <sz val="10"/>
        <rFont val="Arial"/>
        <family val="0"/>
        <charset val="1"/>
      </rPr>
      <t xml:space="preserve">/ RTK </t>
    </r>
    <r>
      <rPr>
        <sz val="10"/>
        <rFont val="Noto Sans CJK SC"/>
        <family val="2"/>
      </rPr>
      <t xml:space="preserve">降级），用于事后分析与调参</t>
    </r>
  </si>
  <si>
    <r>
      <rPr>
        <sz val="10"/>
        <rFont val="Arial"/>
        <family val="0"/>
        <charset val="1"/>
      </rPr>
      <t xml:space="preserve">F7 / 11.1 </t>
    </r>
    <r>
      <rPr>
        <sz val="10"/>
        <rFont val="Noto Sans CJK SC"/>
        <family val="2"/>
      </rPr>
      <t xml:space="preserve">数据平面划分</t>
    </r>
  </si>
  <si>
    <t xml:space="preserve">COM-01</t>
  </si>
  <si>
    <t xml:space="preserve">各平面必须能独立降级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</si>
  <si>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各平面必须能独立降级。媒体面或数据面带宽饱和不得影响控制面的急停指令送达，更不得影响本地实时面</t>
    </r>
  </si>
  <si>
    <r>
      <rPr>
        <sz val="10"/>
        <rFont val="Noto Sans CJK SC"/>
        <family val="2"/>
      </rPr>
      <t xml:space="preserve">【联调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抓包】核对 </t>
    </r>
    <r>
      <rPr>
        <sz val="10"/>
        <rFont val="Arial"/>
        <family val="0"/>
        <charset val="1"/>
      </rPr>
      <t xml:space="preserve">Zenoh </t>
    </r>
    <r>
      <rPr>
        <sz val="10"/>
        <rFont val="Noto Sans CJK SC"/>
        <family val="2"/>
      </rPr>
      <t xml:space="preserve">通用面与实时面、云端桥、媒体 </t>
    </r>
    <r>
      <rPr>
        <sz val="10"/>
        <rFont val="Arial"/>
        <family val="0"/>
        <charset val="1"/>
      </rPr>
      <t xml:space="preserve">NAT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FTP </t>
    </r>
    <r>
      <rPr>
        <sz val="10"/>
        <rFont val="Noto Sans CJK SC"/>
        <family val="2"/>
      </rPr>
      <t xml:space="preserve">与带宽，必要时抓包。</t>
    </r>
  </si>
  <si>
    <r>
      <rPr>
        <sz val="10"/>
        <rFont val="Noto Sans CJK SC"/>
        <family val="2"/>
      </rPr>
      <t xml:space="preserve">✅ 通用面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实时面两个 </t>
    </r>
    <r>
      <rPr>
        <sz val="10"/>
        <rFont val="Arial"/>
        <family val="0"/>
        <charset val="1"/>
      </rPr>
      <t xml:space="preserve">router </t>
    </r>
    <r>
      <rPr>
        <sz val="10"/>
        <rFont val="Noto Sans CJK SC"/>
        <family val="2"/>
      </rPr>
      <t xml:space="preserve">在运行</t>
    </r>
  </si>
  <si>
    <r>
      <rPr>
        <sz val="10"/>
        <rFont val="Arial"/>
        <family val="0"/>
        <charset val="1"/>
      </rPr>
      <t xml:space="preserve">F7 / 11.2 </t>
    </r>
    <r>
      <rPr>
        <sz val="10"/>
        <rFont val="Noto Sans CJK SC"/>
        <family val="2"/>
      </rPr>
      <t xml:space="preserve">【新】本地实时面：</t>
    </r>
    <r>
      <rPr>
        <sz val="10"/>
        <rFont val="Arial"/>
        <family val="0"/>
        <charset val="1"/>
      </rPr>
      <t xml:space="preserve">RNS ↔ perception </t>
    </r>
    <r>
      <rPr>
        <sz val="10"/>
        <rFont val="Noto Sans CJK SC"/>
        <family val="2"/>
      </rPr>
      <t xml:space="preserve">直连方案</t>
    </r>
  </si>
  <si>
    <t xml:space="preserve">COM-10</t>
  </si>
  <si>
    <r>
      <rPr>
        <sz val="10"/>
        <rFont val="Noto Sans CJK SC"/>
        <family val="2"/>
      </rPr>
      <t xml:space="preserve">采用方案 </t>
    </r>
    <r>
      <rPr>
        <sz val="10"/>
        <rFont val="Arial"/>
        <family val="0"/>
        <charset val="1"/>
      </rPr>
      <t xml:space="preserve">D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</si>
  <si>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采用方案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：
① </t>
    </r>
    <r>
      <rPr>
        <sz val="10"/>
        <rFont val="Arial"/>
        <family val="0"/>
        <charset val="1"/>
      </rPr>
      <t xml:space="preserve">perception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C++</t>
    </r>
    <r>
      <rPr>
        <sz val="10"/>
        <rFont val="Noto Sans CJK SC"/>
        <family val="2"/>
      </rPr>
      <t xml:space="preserve">）内嵌 </t>
    </r>
    <r>
      <rPr>
        <sz val="10"/>
        <rFont val="Arial"/>
        <family val="0"/>
        <charset val="1"/>
      </rPr>
      <t xml:space="preserve">zenoh-cpp </t>
    </r>
    <r>
      <rPr>
        <sz val="10"/>
        <rFont val="Noto Sans CJK SC"/>
        <family val="2"/>
      </rPr>
      <t xml:space="preserve">客户端，将感知元数据直接发布到本地专用 </t>
    </r>
    <r>
      <rPr>
        <sz val="10"/>
        <rFont val="Arial"/>
        <family val="0"/>
        <charset val="1"/>
      </rPr>
      <t xml:space="preserve">Zenoh session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mode: peer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scouting </t>
    </r>
    <r>
      <rPr>
        <sz val="10"/>
        <rFont val="Noto Sans CJK SC"/>
        <family val="2"/>
      </rPr>
      <t xml:space="preserve">限定 </t>
    </r>
    <r>
      <rPr>
        <sz val="10"/>
        <rFont val="Arial"/>
        <family val="0"/>
        <charset val="1"/>
      </rPr>
      <t xml:space="preserve">localhost</t>
    </r>
    <r>
      <rPr>
        <sz val="10"/>
        <rFont val="Noto Sans CJK SC"/>
        <family val="2"/>
      </rPr>
      <t xml:space="preserve">，不 </t>
    </r>
    <r>
      <rPr>
        <sz val="10"/>
        <rFont val="Arial"/>
        <family val="0"/>
        <charset val="1"/>
      </rPr>
      <t xml:space="preserve">connect </t>
    </r>
    <r>
      <rPr>
        <sz val="10"/>
        <rFont val="Noto Sans CJK SC"/>
        <family val="2"/>
      </rPr>
      <t xml:space="preserve">云端 </t>
    </r>
    <r>
      <rPr>
        <sz val="10"/>
        <rFont val="Arial"/>
        <family val="0"/>
        <charset val="1"/>
      </rPr>
      <t xml:space="preserve">router</t>
    </r>
    <r>
      <rPr>
        <sz val="10"/>
        <rFont val="Noto Sans CJK SC"/>
        <family val="2"/>
      </rPr>
      <t xml:space="preserve">）
② 同时保留原有 </t>
    </r>
    <r>
      <rPr>
        <sz val="10"/>
        <rFont val="Arial"/>
        <family val="0"/>
        <charset val="1"/>
      </rPr>
      <t xml:space="preserve">ROS 2 topic </t>
    </r>
    <r>
      <rPr>
        <sz val="10"/>
        <rFont val="Noto Sans CJK SC"/>
        <family val="2"/>
      </rPr>
      <t xml:space="preserve">发布，供 </t>
    </r>
    <r>
      <rPr>
        <sz val="10"/>
        <rFont val="Arial"/>
        <family val="0"/>
        <charset val="1"/>
      </rPr>
      <t xml:space="preserve">rosbag2 </t>
    </r>
    <r>
      <rPr>
        <sz val="10"/>
        <rFont val="Noto Sans CJK SC"/>
        <family val="2"/>
      </rPr>
      <t xml:space="preserve">录制、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观测、云端上报
③ 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保持纯 </t>
    </r>
    <r>
      <rPr>
        <sz val="10"/>
        <rFont val="Arial"/>
        <family val="0"/>
        <charset val="1"/>
      </rPr>
      <t xml:space="preserve">Python</t>
    </r>
    <r>
      <rPr>
        <sz val="10"/>
        <rFont val="Noto Sans CJK SC"/>
        <family val="2"/>
      </rPr>
      <t xml:space="preserve">，订阅该本地 </t>
    </r>
    <r>
      <rPr>
        <sz val="10"/>
        <rFont val="Arial"/>
        <family val="0"/>
        <charset val="1"/>
      </rPr>
      <t xml:space="preserve">session
④ </t>
    </r>
    <r>
      <rPr>
        <sz val="10"/>
        <rFont val="Noto Sans CJK SC"/>
        <family val="2"/>
      </rPr>
      <t xml:space="preserve">速度指令、</t>
    </r>
    <r>
      <rPr>
        <sz val="10"/>
        <rFont val="Arial"/>
        <family val="0"/>
        <charset val="1"/>
      </rPr>
      <t xml:space="preserve">RTK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Nav2 cmd_vel </t>
    </r>
    <r>
      <rPr>
        <sz val="10"/>
        <rFont val="Noto Sans CJK SC"/>
        <family val="2"/>
      </rPr>
      <t xml:space="preserve">走同一 </t>
    </r>
    <r>
      <rPr>
        <sz val="10"/>
        <rFont val="Arial"/>
        <family val="0"/>
        <charset val="1"/>
      </rPr>
      <t xml:space="preserve">RT Session</t>
    </r>
  </si>
  <si>
    <r>
      <rPr>
        <sz val="10"/>
        <rFont val="Noto Sans CJK SC"/>
        <family val="2"/>
      </rPr>
      <t xml:space="preserve">✅ 感知 </t>
    </r>
    <r>
      <rPr>
        <sz val="10"/>
        <rFont val="Arial"/>
        <family val="0"/>
        <charset val="1"/>
      </rPr>
      <t xml:space="preserve">-&gt; RNS </t>
    </r>
    <r>
      <rPr>
        <sz val="10"/>
        <rFont val="Noto Sans CJK SC"/>
        <family val="2"/>
      </rPr>
      <t xml:space="preserve">直连数据在流动</t>
    </r>
  </si>
  <si>
    <t xml:space="preserve">COM-11</t>
  </si>
  <si>
    <r>
      <rPr>
        <sz val="10"/>
        <rFont val="Noto Sans CJK SC"/>
        <family val="2"/>
      </rPr>
      <t xml:space="preserve">方案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收益</t>
    </r>
  </si>
  <si>
    <r>
      <rPr>
        <sz val="10"/>
        <rFont val="Noto Sans CJK SC"/>
        <family val="2"/>
      </rPr>
      <t xml:space="preserve">方案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收益：实时路径上完全无 </t>
    </r>
    <r>
      <rPr>
        <sz val="10"/>
        <rFont val="Arial"/>
        <family val="0"/>
        <charset val="1"/>
      </rPr>
      <t xml:space="preserve">bridge</t>
    </r>
    <r>
      <rPr>
        <sz val="10"/>
        <rFont val="Noto Sans CJK SC"/>
        <family val="2"/>
      </rPr>
      <t xml:space="preserve">（云端 </t>
    </r>
    <r>
      <rPr>
        <sz val="10"/>
        <rFont val="Arial"/>
        <family val="0"/>
        <charset val="1"/>
      </rPr>
      <t xml:space="preserve">bridge </t>
    </r>
    <r>
      <rPr>
        <sz val="10"/>
        <rFont val="Noto Sans CJK SC"/>
        <family val="2"/>
      </rPr>
      <t xml:space="preserve">崩溃不影响导航）；云端流量突发物理上无法挤占实时路径；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保持纯 </t>
    </r>
    <r>
      <rPr>
        <sz val="10"/>
        <rFont val="Arial"/>
        <family val="0"/>
        <charset val="1"/>
      </rPr>
      <t xml:space="preserve">Python</t>
    </r>
    <r>
      <rPr>
        <sz val="10"/>
        <rFont val="Noto Sans CJK SC"/>
        <family val="2"/>
      </rPr>
      <t xml:space="preserve">；仍可用 </t>
    </r>
    <r>
      <rPr>
        <sz val="10"/>
        <rFont val="Arial"/>
        <family val="0"/>
        <charset val="1"/>
      </rPr>
      <t xml:space="preserve">rosbag2 </t>
    </r>
    <r>
      <rPr>
        <sz val="10"/>
        <rFont val="Noto Sans CJK SC"/>
        <family val="2"/>
      </rPr>
      <t xml:space="preserve">录 </t>
    </r>
    <r>
      <rPr>
        <sz val="10"/>
        <rFont val="Arial"/>
        <family val="0"/>
        <charset val="1"/>
      </rPr>
      <t xml:space="preserve">perception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ROS 2 topic </t>
    </r>
    <r>
      <rPr>
        <sz val="10"/>
        <rFont val="Noto Sans CJK SC"/>
        <family val="2"/>
      </rPr>
      <t xml:space="preserve">做事后复盘；</t>
    </r>
    <r>
      <rPr>
        <sz val="10"/>
        <rFont val="Arial"/>
        <family val="0"/>
        <charset val="1"/>
      </rPr>
      <t xml:space="preserve">perception </t>
    </r>
    <r>
      <rPr>
        <sz val="10"/>
        <rFont val="Noto Sans CJK SC"/>
        <family val="2"/>
      </rPr>
      <t xml:space="preserve">侧改动约 </t>
    </r>
    <r>
      <rPr>
        <sz val="10"/>
        <rFont val="Arial"/>
        <family val="0"/>
        <charset val="1"/>
      </rPr>
      <t xml:space="preserve">30 </t>
    </r>
    <r>
      <rPr>
        <sz val="10"/>
        <rFont val="Noto Sans CJK SC"/>
        <family val="2"/>
      </rPr>
      <t xml:space="preserve">行 </t>
    </r>
    <r>
      <rPr>
        <sz val="10"/>
        <rFont val="Arial"/>
        <family val="0"/>
        <charset val="1"/>
      </rPr>
      <t xml:space="preserve">C++</t>
    </r>
  </si>
  <si>
    <t xml:space="preserve">COM-12</t>
  </si>
  <si>
    <r>
      <rPr>
        <sz val="10"/>
        <rFont val="Noto Sans CJK SC"/>
        <family val="2"/>
      </rPr>
      <t xml:space="preserve">方案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代价</t>
    </r>
  </si>
  <si>
    <r>
      <rPr>
        <sz val="10"/>
        <rFont val="Noto Sans CJK SC"/>
        <family val="2"/>
      </rPr>
      <t xml:space="preserve">方案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代价：</t>
    </r>
    <r>
      <rPr>
        <sz val="10"/>
        <rFont val="Arial"/>
        <family val="0"/>
        <charset val="1"/>
      </rPr>
      <t xml:space="preserve">perception </t>
    </r>
    <r>
      <rPr>
        <sz val="10"/>
        <rFont val="Noto Sans CJK SC"/>
        <family val="2"/>
      </rPr>
      <t xml:space="preserve">双发，两条路径理论上可能因 </t>
    </r>
    <r>
      <rPr>
        <sz val="10"/>
        <rFont val="Arial"/>
        <family val="0"/>
        <charset val="1"/>
      </rPr>
      <t xml:space="preserve">bug </t>
    </r>
    <r>
      <rPr>
        <sz val="10"/>
        <rFont val="Noto Sans CJK SC"/>
        <family val="2"/>
      </rPr>
      <t xml:space="preserve">不一致 —— 用同一份序列化载荷发两次可规避</t>
    </r>
  </si>
  <si>
    <t xml:space="preserve">COM-13</t>
  </si>
  <si>
    <r>
      <rPr>
        <sz val="10"/>
        <rFont val="Noto Sans CJK SC"/>
        <family val="2"/>
      </rPr>
      <t xml:space="preserve">方案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rclpy</t>
    </r>
    <r>
      <rPr>
        <sz val="10"/>
        <rFont val="Noto Sans CJK SC"/>
        <family val="2"/>
      </rPr>
      <t xml:space="preserve">）的独有价值在于免费获得 </t>
    </r>
    <r>
      <rPr>
        <sz val="10"/>
        <rFont val="Arial"/>
        <family val="0"/>
        <charset val="1"/>
      </rPr>
      <t xml:space="preserve">ros2 topic echo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ros2 bag record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rq…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</si>
  <si>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方案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rclpy</t>
    </r>
    <r>
      <rPr>
        <sz val="10"/>
        <rFont val="Noto Sans CJK SC"/>
        <family val="2"/>
      </rPr>
      <t xml:space="preserve">）的独有价值在于免费获得 </t>
    </r>
    <r>
      <rPr>
        <sz val="10"/>
        <rFont val="Arial"/>
        <family val="0"/>
        <charset val="1"/>
      </rPr>
      <t xml:space="preserve">ros2 topic echo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ros2 bag record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rqt </t>
    </r>
    <r>
      <rPr>
        <sz val="10"/>
        <rFont val="Noto Sans CJK SC"/>
        <family val="2"/>
      </rPr>
      <t xml:space="preserve">全套工具链。对一个需要在现场排查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当时为什么撞了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为什么没停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的安全关键导航栈，该调试能力价值可观。</t>
    </r>
    <r>
      <rPr>
        <sz val="10"/>
        <rFont val="Arial"/>
        <family val="0"/>
        <charset val="1"/>
      </rPr>
      <t xml:space="preserve">rclpy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20 Hz </t>
    </r>
    <r>
      <rPr>
        <sz val="10"/>
        <rFont val="Noto Sans CJK SC"/>
        <family val="2"/>
      </rPr>
      <t xml:space="preserve">小消息下开销可忽略（</t>
    </r>
    <r>
      <rPr>
        <sz val="10"/>
        <rFont val="Arial"/>
        <family val="0"/>
        <charset val="1"/>
      </rPr>
      <t xml:space="preserve">GIL </t>
    </r>
    <r>
      <rPr>
        <sz val="10"/>
        <rFont val="Noto Sans CJK SC"/>
        <family val="2"/>
      </rPr>
      <t xml:space="preserve">问题主要出现在高频大消息场景）。建议先按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实施，同时按 </t>
    </r>
    <r>
      <rPr>
        <sz val="10"/>
        <rFont val="Arial"/>
        <family val="0"/>
        <charset val="1"/>
      </rPr>
      <t xml:space="preserve">NAV-39 </t>
    </r>
    <r>
      <rPr>
        <sz val="10"/>
        <rFont val="Noto Sans CJK SC"/>
        <family val="2"/>
      </rPr>
      <t xml:space="preserve">抽象接入层，保留后续切换空间</t>
    </r>
  </si>
  <si>
    <r>
      <rPr>
        <sz val="10"/>
        <rFont val="Arial"/>
        <family val="0"/>
        <charset val="1"/>
      </rPr>
      <t xml:space="preserve">F7 / 11.3 </t>
    </r>
    <r>
      <rPr>
        <sz val="10"/>
        <rFont val="Noto Sans CJK SC"/>
        <family val="2"/>
      </rPr>
      <t xml:space="preserve">控制面（</t>
    </r>
    <r>
      <rPr>
        <sz val="10"/>
        <rFont val="Arial"/>
        <family val="0"/>
        <charset val="1"/>
      </rPr>
      <t xml:space="preserve">Zenoh</t>
    </r>
    <r>
      <rPr>
        <sz val="10"/>
        <rFont val="Noto Sans CJK SC"/>
        <family val="2"/>
      </rPr>
      <t xml:space="preserve">）</t>
    </r>
  </si>
  <si>
    <t xml:space="preserve">COM-20</t>
  </si>
  <si>
    <r>
      <rPr>
        <sz val="10"/>
        <rFont val="Noto Sans CJK SC"/>
        <family val="2"/>
      </rPr>
      <t xml:space="preserve">系统状态、系统故障由 </t>
    </r>
    <r>
      <rPr>
        <sz val="10"/>
        <rFont val="Arial"/>
        <family val="0"/>
        <charset val="1"/>
      </rPr>
      <t xml:space="preserve">ROS 2 </t>
    </r>
    <r>
      <rPr>
        <sz val="10"/>
        <rFont val="Noto Sans CJK SC"/>
        <family val="2"/>
      </rPr>
      <t xml:space="preserve">节点发布，经 </t>
    </r>
    <r>
      <rPr>
        <sz val="10"/>
        <rFont val="Arial"/>
        <family val="0"/>
        <charset val="1"/>
      </rPr>
      <t xml:space="preserve">Zenoh </t>
    </r>
    <r>
      <rPr>
        <sz val="10"/>
        <rFont val="Noto Sans CJK SC"/>
        <family val="2"/>
      </rPr>
      <t xml:space="preserve">桥订阅后再发布</t>
    </r>
  </si>
  <si>
    <t xml:space="preserve">✅ 控制面与云端桥联调在用</t>
  </si>
  <si>
    <t xml:space="preserve">COM-21</t>
  </si>
  <si>
    <r>
      <rPr>
        <sz val="10"/>
        <rFont val="Noto Sans CJK SC"/>
        <family val="2"/>
      </rPr>
      <t xml:space="preserve">此设计使本地非 </t>
    </r>
    <r>
      <rPr>
        <sz val="10"/>
        <rFont val="Arial"/>
        <family val="0"/>
        <charset val="1"/>
      </rPr>
      <t xml:space="preserve">ROS 2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Python </t>
    </r>
    <r>
      <rPr>
        <sz val="10"/>
        <rFont val="Noto Sans CJK SC"/>
        <family val="2"/>
      </rPr>
      <t xml:space="preserve">进程与云端计算机均可方便订阅同一数据源</t>
    </r>
  </si>
  <si>
    <t xml:space="preserve">COM-22</t>
  </si>
  <si>
    <r>
      <rPr>
        <sz val="10"/>
        <rFont val="Arial"/>
        <family val="0"/>
        <charset val="1"/>
      </rPr>
      <t xml:space="preserve">Zenoh </t>
    </r>
    <r>
      <rPr>
        <sz val="10"/>
        <rFont val="Noto Sans CJK SC"/>
        <family val="2"/>
      </rPr>
      <t xml:space="preserve">不仅是云端桥接，也是 </t>
    </r>
    <r>
      <rPr>
        <sz val="10"/>
        <rFont val="Arial"/>
        <family val="0"/>
        <charset val="1"/>
      </rPr>
      <t xml:space="preserve">XBRAIN Runtime </t>
    </r>
    <r>
      <rPr>
        <sz val="10"/>
        <rFont val="Noto Sans CJK SC"/>
        <family val="2"/>
      </rPr>
      <t xml:space="preserve">各进程间的集成总线</t>
    </r>
  </si>
  <si>
    <t xml:space="preserve">COM-23</t>
  </si>
  <si>
    <r>
      <rPr>
        <sz val="10"/>
        <rFont val="Arial"/>
        <family val="0"/>
        <charset val="1"/>
      </rPr>
      <t xml:space="preserve">AI Runtime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XBRAIN Runtime </t>
    </r>
    <r>
      <rPr>
        <sz val="10"/>
        <rFont val="Noto Sans CJK SC"/>
        <family val="2"/>
      </rPr>
      <t xml:space="preserve">与底层 </t>
    </r>
    <r>
      <rPr>
        <sz val="10"/>
        <rFont val="Arial"/>
        <family val="0"/>
        <charset val="1"/>
      </rPr>
      <t xml:space="preserve">ROS 2 </t>
    </r>
    <r>
      <rPr>
        <sz val="10"/>
        <rFont val="Noto Sans CJK SC"/>
        <family val="2"/>
      </rPr>
      <t xml:space="preserve">节点（</t>
    </r>
    <r>
      <rPr>
        <sz val="10"/>
        <rFont val="Arial"/>
        <family val="0"/>
        <charset val="1"/>
      </rPr>
      <t xml:space="preserve">perception / nav2 / q…</t>
    </r>
  </si>
  <si>
    <r>
      <rPr>
        <sz val="10"/>
        <rFont val="Arial"/>
        <family val="0"/>
        <charset val="1"/>
      </rPr>
      <t xml:space="preserve">AI Runtime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XBRAIN Runtime </t>
    </r>
    <r>
      <rPr>
        <sz val="10"/>
        <rFont val="Noto Sans CJK SC"/>
        <family val="2"/>
      </rPr>
      <t xml:space="preserve">与底层 </t>
    </r>
    <r>
      <rPr>
        <sz val="10"/>
        <rFont val="Arial"/>
        <family val="0"/>
        <charset val="1"/>
      </rPr>
      <t xml:space="preserve">ROS 2 </t>
    </r>
    <r>
      <rPr>
        <sz val="10"/>
        <rFont val="Noto Sans CJK SC"/>
        <family val="2"/>
      </rPr>
      <t xml:space="preserve">节点（</t>
    </r>
    <r>
      <rPr>
        <sz val="10"/>
        <rFont val="Arial"/>
        <family val="0"/>
        <charset val="1"/>
      </rPr>
      <t xml:space="preserve">perception / nav2 / quadruped</t>
    </r>
    <r>
      <rPr>
        <sz val="10"/>
        <rFont val="Noto Sans CJK SC"/>
        <family val="2"/>
      </rPr>
      <t xml:space="preserve">）之间均通过 </t>
    </r>
    <r>
      <rPr>
        <sz val="10"/>
        <rFont val="Arial"/>
        <family val="0"/>
        <charset val="1"/>
      </rPr>
      <t xml:space="preserve">Zenoh </t>
    </r>
    <r>
      <rPr>
        <sz val="10"/>
        <rFont val="Noto Sans CJK SC"/>
        <family val="2"/>
      </rPr>
      <t xml:space="preserve">桥接完成</t>
    </r>
  </si>
  <si>
    <t xml:space="preserve">COM-24</t>
  </si>
  <si>
    <r>
      <rPr>
        <sz val="10"/>
        <rFont val="Noto Sans CJK SC"/>
        <family val="2"/>
      </rPr>
      <t xml:space="preserve">云端通过 </t>
    </r>
    <r>
      <rPr>
        <sz val="10"/>
        <rFont val="Arial"/>
        <family val="0"/>
        <charset val="1"/>
      </rPr>
      <t xml:space="preserve">Zenoh </t>
    </r>
    <r>
      <rPr>
        <sz val="10"/>
        <rFont val="Noto Sans CJK SC"/>
        <family val="2"/>
      </rPr>
      <t xml:space="preserve">下发 </t>
    </r>
    <r>
      <rPr>
        <sz val="10"/>
        <rFont val="Arial"/>
        <family val="0"/>
        <charset val="1"/>
      </rPr>
      <t xml:space="preserve">JSON </t>
    </r>
    <r>
      <rPr>
        <sz val="10"/>
        <rFont val="Noto Sans CJK SC"/>
        <family val="2"/>
      </rPr>
      <t xml:space="preserve">任务指令、模式切换指令、</t>
    </r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控制指令</t>
    </r>
  </si>
  <si>
    <t xml:space="preserve">COM-25</t>
  </si>
  <si>
    <t xml:space="preserve">红线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</si>
  <si>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红线：</t>
    </r>
    <r>
      <rPr>
        <sz val="10"/>
        <rFont val="Arial"/>
        <family val="0"/>
        <charset val="1"/>
      </rPr>
      <t xml:space="preserve">Zenoh </t>
    </r>
    <r>
      <rPr>
        <sz val="10"/>
        <rFont val="Noto Sans CJK SC"/>
        <family val="2"/>
      </rPr>
      <t xml:space="preserve">桥是单点故障。需健康监控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自动重启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桥失联时的默认行为（建议：继续执行当前任务，禁止接受新任务，禁止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模式自主喊话，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秒后停车等待）</t>
    </r>
  </si>
  <si>
    <r>
      <rPr>
        <sz val="10"/>
        <rFont val="Arial"/>
        <family val="0"/>
        <charset val="1"/>
      </rPr>
      <t xml:space="preserve">F7 / 11.4 </t>
    </r>
    <r>
      <rPr>
        <sz val="10"/>
        <rFont val="Noto Sans CJK SC"/>
        <family val="2"/>
      </rPr>
      <t xml:space="preserve">媒体面</t>
    </r>
  </si>
  <si>
    <t xml:space="preserve">COM-30</t>
  </si>
  <si>
    <r>
      <rPr>
        <sz val="10"/>
        <rFont val="Noto Sans CJK SC"/>
        <family val="2"/>
      </rPr>
      <t xml:space="preserve">布控球视频流经 </t>
    </r>
    <r>
      <rPr>
        <sz val="10"/>
        <rFont val="Arial"/>
        <family val="0"/>
        <charset val="1"/>
      </rPr>
      <t xml:space="preserve">NAT </t>
    </r>
    <r>
      <rPr>
        <sz val="10"/>
        <rFont val="Noto Sans CJK SC"/>
        <family val="2"/>
      </rPr>
      <t xml:space="preserve">桥接至通讯网口，云端 </t>
    </r>
    <r>
      <rPr>
        <sz val="10"/>
        <rFont val="Arial"/>
        <family val="0"/>
        <charset val="1"/>
      </rPr>
      <t xml:space="preserve">RTSP </t>
    </r>
    <r>
      <rPr>
        <sz val="10"/>
        <rFont val="Noto Sans CJK SC"/>
        <family val="2"/>
      </rPr>
      <t xml:space="preserve">拉流解码播放（</t>
    </r>
    <r>
      <rPr>
        <sz val="10"/>
        <rFont val="Arial"/>
        <family val="0"/>
        <charset val="1"/>
      </rPr>
      <t xml:space="preserve">PAY-20 / PAY-20b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</si>
  <si>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布控球视频流经 </t>
    </r>
    <r>
      <rPr>
        <sz val="10"/>
        <rFont val="Arial"/>
        <family val="0"/>
        <charset val="1"/>
      </rPr>
      <t xml:space="preserve">NAT </t>
    </r>
    <r>
      <rPr>
        <sz val="10"/>
        <rFont val="Noto Sans CJK SC"/>
        <family val="2"/>
      </rPr>
      <t xml:space="preserve">桥接至通讯网口，云端 </t>
    </r>
    <r>
      <rPr>
        <sz val="10"/>
        <rFont val="Arial"/>
        <family val="0"/>
        <charset val="1"/>
      </rPr>
      <t xml:space="preserve">RTSP </t>
    </r>
    <r>
      <rPr>
        <sz val="10"/>
        <rFont val="Noto Sans CJK SC"/>
        <family val="2"/>
      </rPr>
      <t xml:space="preserve">拉流解码播放（</t>
    </r>
    <r>
      <rPr>
        <sz val="10"/>
        <rFont val="Arial"/>
        <family val="0"/>
        <charset val="1"/>
      </rPr>
      <t xml:space="preserve">PAY-20 / PAY-20b</t>
    </r>
    <r>
      <rPr>
        <sz val="10"/>
        <rFont val="Noto Sans CJK SC"/>
        <family val="2"/>
      </rPr>
      <t xml:space="preserve">）。 订正： → 两路 </t>
    </r>
    <r>
      <rPr>
        <sz val="10"/>
        <rFont val="Arial"/>
        <family val="0"/>
        <charset val="1"/>
      </rPr>
      <t xml:space="preserve">2560×1440@25fps</t>
    </r>
    <r>
      <rPr>
        <sz val="10"/>
        <rFont val="Noto Sans CJK SC"/>
        <family val="2"/>
      </rPr>
      <t xml:space="preserve">（可见光 ＋ 红外，各约 </t>
    </r>
    <r>
      <rPr>
        <sz val="10"/>
        <rFont val="Arial"/>
        <family val="0"/>
        <charset val="1"/>
      </rPr>
      <t xml:space="preserve">6.0 Mbps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PAY-10 / §11.6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</si>
  <si>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🟡 视频走云台 </t>
    </r>
    <r>
      <rPr>
        <sz val="10"/>
        <rFont val="Arial"/>
        <family val="0"/>
        <charset val="1"/>
      </rPr>
      <t xml:space="preserve">NAT </t>
    </r>
    <r>
      <rPr>
        <sz val="10"/>
        <rFont val="Noto Sans CJK SC"/>
        <family val="2"/>
      </rPr>
      <t xml:space="preserve">直通；</t>
    </r>
    <r>
      <rPr>
        <sz val="10"/>
        <rFont val="Arial"/>
        <family val="0"/>
        <charset val="1"/>
      </rPr>
      <t xml:space="preserve">p5 </t>
    </r>
    <r>
      <rPr>
        <sz val="10"/>
        <rFont val="Noto Sans CJK SC"/>
        <family val="2"/>
      </rPr>
      <t xml:space="preserve">媒体探测由另一会话开发</t>
    </r>
  </si>
  <si>
    <t xml:space="preserve">COM-31</t>
  </si>
  <si>
    <r>
      <rPr>
        <sz val="10"/>
        <rFont val="Arial"/>
        <family val="0"/>
        <charset val="1"/>
      </rPr>
      <t xml:space="preserve">Gemini 336L </t>
    </r>
    <r>
      <rPr>
        <sz val="10"/>
        <rFont val="Noto Sans CJK SC"/>
        <family val="2"/>
      </rPr>
      <t xml:space="preserve">感知相机画面经编码后 </t>
    </r>
    <r>
      <rPr>
        <sz val="10"/>
        <rFont val="Arial"/>
        <family val="0"/>
        <charset val="1"/>
      </rPr>
      <t xml:space="preserve">RTSP </t>
    </r>
    <r>
      <rPr>
        <sz val="10"/>
        <rFont val="Noto Sans CJK SC"/>
        <family val="2"/>
      </rPr>
      <t xml:space="preserve">推流，云端可拉流解码播放</t>
    </r>
  </si>
  <si>
    <t xml:space="preserve">COM-32</t>
  </si>
  <si>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编码必须使用 </t>
    </r>
    <r>
      <rPr>
        <sz val="10"/>
        <rFont val="Arial"/>
        <family val="0"/>
        <charset val="1"/>
      </rPr>
      <t xml:space="preserve">NVENC </t>
    </r>
    <r>
      <rPr>
        <sz val="10"/>
        <rFont val="Noto Sans CJK SC"/>
        <family val="2"/>
      </rPr>
      <t xml:space="preserve">硬件编码器（</t>
    </r>
    <r>
      <rPr>
        <sz val="10"/>
        <rFont val="Arial"/>
        <family val="0"/>
        <charset val="1"/>
      </rPr>
      <t xml:space="preserve">Orin NX </t>
    </r>
    <r>
      <rPr>
        <sz val="10"/>
        <rFont val="Noto Sans CJK SC"/>
        <family val="2"/>
      </rPr>
      <t xml:space="preserve">具备）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</si>
  <si>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编码必须使用 </t>
    </r>
    <r>
      <rPr>
        <sz val="10"/>
        <rFont val="Arial"/>
        <family val="0"/>
        <charset val="1"/>
      </rPr>
      <t xml:space="preserve">NVENC </t>
    </r>
    <r>
      <rPr>
        <sz val="10"/>
        <rFont val="Noto Sans CJK SC"/>
        <family val="2"/>
      </rPr>
      <t xml:space="preserve">硬件编码器（</t>
    </r>
    <r>
      <rPr>
        <sz val="10"/>
        <rFont val="Arial"/>
        <family val="0"/>
        <charset val="1"/>
      </rPr>
      <t xml:space="preserve">Orin NX </t>
    </r>
    <r>
      <rPr>
        <sz val="10"/>
        <rFont val="Noto Sans CJK SC"/>
        <family val="2"/>
      </rPr>
      <t xml:space="preserve">具备）。若使用 </t>
    </r>
    <r>
      <rPr>
        <sz val="10"/>
        <rFont val="Arial"/>
        <family val="0"/>
        <charset val="1"/>
      </rPr>
      <t xml:space="preserve">CPU </t>
    </r>
    <r>
      <rPr>
        <sz val="10"/>
        <rFont val="Noto Sans CJK SC"/>
        <family val="2"/>
      </rPr>
      <t xml:space="preserve">软编（如 </t>
    </r>
    <r>
      <rPr>
        <sz val="10"/>
        <rFont val="Arial"/>
        <family val="0"/>
        <charset val="1"/>
      </rPr>
      <t xml:space="preserve">x264enc</t>
    </r>
    <r>
      <rPr>
        <sz val="10"/>
        <rFont val="Noto Sans CJK SC"/>
        <family val="2"/>
      </rPr>
      <t xml:space="preserve">）将占用 </t>
    </r>
    <r>
      <rPr>
        <sz val="10"/>
        <rFont val="Arial"/>
        <family val="0"/>
        <charset val="1"/>
      </rPr>
      <t xml:space="preserve">2–3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CPU </t>
    </r>
    <r>
      <rPr>
        <sz val="10"/>
        <rFont val="Noto Sans CJK SC"/>
        <family val="2"/>
      </rPr>
      <t xml:space="preserve">核，直接影响 </t>
    </r>
    <r>
      <rPr>
        <sz val="10"/>
        <rFont val="Arial"/>
        <family val="0"/>
        <charset val="1"/>
      </rPr>
      <t xml:space="preserve">RNS</t>
    </r>
  </si>
  <si>
    <t xml:space="preserve">COM-33</t>
  </si>
  <si>
    <r>
      <rPr>
        <sz val="10"/>
        <rFont val="Noto Sans CJK SC"/>
        <family val="2"/>
      </rPr>
      <t xml:space="preserve">推流使用的图像必须与感知使用的图像共享同一份采集，不得为推流单独再开一路相机流（</t>
    </r>
    <r>
      <rPr>
        <sz val="10"/>
        <rFont val="Arial"/>
        <family val="0"/>
        <charset val="1"/>
      </rPr>
      <t xml:space="preserve">USB </t>
    </r>
    <r>
      <rPr>
        <sz val="10"/>
        <rFont val="Noto Sans CJK SC"/>
        <family val="2"/>
      </rPr>
      <t xml:space="preserve">带宽与内存拷贝会翻倍）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</si>
  <si>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推流使用的图像必须与感知使用的图像共享同一份采集，不得为推流单独再开一路相机流（</t>
    </r>
    <r>
      <rPr>
        <sz val="10"/>
        <rFont val="Arial"/>
        <family val="0"/>
        <charset val="1"/>
      </rPr>
      <t xml:space="preserve">USB </t>
    </r>
    <r>
      <rPr>
        <sz val="10"/>
        <rFont val="Noto Sans CJK SC"/>
        <family val="2"/>
      </rPr>
      <t xml:space="preserve">带宽与内存拷贝会翻倍）</t>
    </r>
  </si>
  <si>
    <t xml:space="preserve">COM-34</t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</si>
  <si>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模式云端音频为实时流（下行），需处理抖动缓冲</t>
    </r>
  </si>
  <si>
    <r>
      <rPr>
        <sz val="10"/>
        <rFont val="Arial"/>
        <family val="0"/>
        <charset val="1"/>
      </rPr>
      <t xml:space="preserve">F7 / 11.5 </t>
    </r>
    <r>
      <rPr>
        <sz val="10"/>
        <rFont val="Noto Sans CJK SC"/>
        <family val="2"/>
      </rPr>
      <t xml:space="preserve">数据面（</t>
    </r>
    <r>
      <rPr>
        <sz val="10"/>
        <rFont val="Arial"/>
        <family val="0"/>
        <charset val="1"/>
      </rPr>
      <t xml:space="preserve">FTP</t>
    </r>
    <r>
      <rPr>
        <sz val="10"/>
        <rFont val="Noto Sans CJK SC"/>
        <family val="2"/>
      </rPr>
      <t xml:space="preserve">）</t>
    </r>
  </si>
  <si>
    <t xml:space="preserve">COM-40</t>
  </si>
  <si>
    <r>
      <rPr>
        <sz val="10"/>
        <rFont val="Noto Sans CJK SC"/>
        <family val="2"/>
      </rPr>
      <t xml:space="preserve">机器狗提供带密码的 </t>
    </r>
    <r>
      <rPr>
        <sz val="10"/>
        <rFont val="Arial"/>
        <family val="0"/>
        <charset val="1"/>
      </rPr>
      <t xml:space="preserve">FTP </t>
    </r>
    <r>
      <rPr>
        <sz val="10"/>
        <rFont val="Noto Sans CJK SC"/>
        <family val="2"/>
      </rPr>
      <t xml:space="preserve">服务，云端系统通过 </t>
    </r>
    <r>
      <rPr>
        <sz val="10"/>
        <rFont val="Arial"/>
        <family val="0"/>
        <charset val="1"/>
      </rPr>
      <t xml:space="preserve">FTP </t>
    </r>
    <r>
      <rPr>
        <sz val="10"/>
        <rFont val="Noto Sans CJK SC"/>
        <family val="2"/>
      </rPr>
      <t xml:space="preserve">拷贝机器狗作业的所有数据</t>
    </r>
  </si>
  <si>
    <r>
      <rPr>
        <sz val="10"/>
        <rFont val="Arial"/>
        <family val="0"/>
        <charset val="1"/>
      </rPr>
      <t xml:space="preserve">🟡 p5 </t>
    </r>
    <r>
      <rPr>
        <sz val="10"/>
        <rFont val="Noto Sans CJK SC"/>
        <family val="2"/>
      </rPr>
      <t xml:space="preserve">有 </t>
    </r>
    <r>
      <rPr>
        <sz val="10"/>
        <rFont val="Arial"/>
        <family val="0"/>
        <charset val="1"/>
      </rPr>
      <t xml:space="preserve">ftp </t>
    </r>
    <r>
      <rPr>
        <sz val="10"/>
        <rFont val="Noto Sans CJK SC"/>
        <family val="2"/>
      </rPr>
      <t xml:space="preserve">模块，未测</t>
    </r>
  </si>
  <si>
    <t xml:space="preserve">COM-41</t>
  </si>
  <si>
    <r>
      <rPr>
        <sz val="10"/>
        <rFont val="Noto Sans CJK SC"/>
        <family val="2"/>
      </rPr>
      <t xml:space="preserve">需定义完整的数据交付协议闭环，否则会出现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数据未拉走即被覆盖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或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重复拉取</t>
    </r>
    <r>
      <rPr>
        <sz val="10"/>
        <rFont val="Arial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</si>
  <si>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需定义完整的数据交付协议闭环，否则会出现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数据未拉走即被覆盖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或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重复拉取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：
数据落盘 → </t>
    </r>
    <r>
      <rPr>
        <sz val="10"/>
        <rFont val="Arial"/>
        <family val="0"/>
        <charset val="1"/>
      </rPr>
      <t xml:space="preserve">Zenoh </t>
    </r>
    <r>
      <rPr>
        <sz val="10"/>
        <rFont val="Noto Sans CJK SC"/>
        <family val="2"/>
      </rPr>
      <t xml:space="preserve">发「数据就绪」事件（路径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大小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校验和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关联</t>
    </r>
    <r>
      <rPr>
        <sz val="10"/>
        <rFont val="Arial"/>
        <family val="0"/>
        <charset val="1"/>
      </rPr>
      <t xml:space="preserve">event_id</t>
    </r>
    <r>
      <rPr>
        <sz val="10"/>
        <rFont val="Noto Sans CJK SC"/>
        <family val="2"/>
      </rPr>
      <t xml:space="preserve">）→ 云端 </t>
    </r>
    <r>
      <rPr>
        <sz val="10"/>
        <rFont val="Arial"/>
        <family val="0"/>
        <charset val="1"/>
      </rPr>
      <t xml:space="preserve">FTP </t>
    </r>
    <r>
      <rPr>
        <sz val="10"/>
        <rFont val="Noto Sans CJK SC"/>
        <family val="2"/>
      </rPr>
      <t xml:space="preserve">拉取 → 云端回「已拉取」确认 → 机器狗侧标记可回收 → 磁盘水位到阈值按策略清理</t>
    </r>
  </si>
  <si>
    <t xml:space="preserve">COM-42</t>
  </si>
  <si>
    <r>
      <rPr>
        <sz val="10"/>
        <rFont val="Noto Sans CJK SC"/>
        <family val="2"/>
      </rPr>
      <t xml:space="preserve">需定义磁盘保留策略与水位告警，防止 </t>
    </r>
    <r>
      <rPr>
        <sz val="10"/>
        <rFont val="Arial"/>
        <family val="0"/>
        <charset val="1"/>
      </rPr>
      <t xml:space="preserve">NVMe </t>
    </r>
    <r>
      <rPr>
        <sz val="10"/>
        <rFont val="Noto Sans CJK SC"/>
        <family val="2"/>
      </rPr>
      <t xml:space="preserve">写满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</si>
  <si>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需定义磁盘保留策略与水位告警，防止 </t>
    </r>
    <r>
      <rPr>
        <sz val="10"/>
        <rFont val="Arial"/>
        <family val="0"/>
        <charset val="1"/>
      </rPr>
      <t xml:space="preserve">NVMe </t>
    </r>
    <r>
      <rPr>
        <sz val="10"/>
        <rFont val="Noto Sans CJK SC"/>
        <family val="2"/>
      </rPr>
      <t xml:space="preserve">写满</t>
    </r>
  </si>
  <si>
    <t xml:space="preserve">COM-43</t>
  </si>
  <si>
    <r>
      <rPr>
        <sz val="10"/>
        <rFont val="Noto Sans CJK SC"/>
        <family val="2"/>
      </rPr>
      <t xml:space="preserve">明确待定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待甲方（ </t>
    </r>
    <r>
      <rPr>
        <sz val="10"/>
        <rFont val="Arial"/>
        <family val="0"/>
        <charset val="1"/>
      </rPr>
      <t xml:space="preserve">§0.4a③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§22 #19 —— </t>
    </r>
    <r>
      <rPr>
        <sz val="10"/>
        <rFont val="Noto Sans CJK SC"/>
        <family val="2"/>
      </rPr>
      <t xml:space="preserve">待定期间的实现行为</t>
    </r>
  </si>
  <si>
    <r>
      <rPr>
        <sz val="10"/>
        <rFont val="Noto Sans CJK SC"/>
        <family val="2"/>
      </rPr>
      <t xml:space="preserve">明确待定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待甲方（ </t>
    </r>
    <r>
      <rPr>
        <sz val="10"/>
        <rFont val="Arial"/>
        <family val="0"/>
        <charset val="1"/>
      </rPr>
      <t xml:space="preserve">§0.4a③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§22 #19 —— </t>
    </r>
    <r>
      <rPr>
        <sz val="10"/>
        <rFont val="Noto Sans CJK SC"/>
        <family val="2"/>
      </rPr>
      <t xml:space="preserve">待定期间的实现行为：本期按 </t>
    </r>
    <r>
      <rPr>
        <sz val="10"/>
        <rFont val="Arial"/>
        <family val="0"/>
        <charset val="1"/>
      </rPr>
      <t xml:space="preserve">FTP </t>
    </r>
    <r>
      <rPr>
        <sz val="10"/>
        <rFont val="Noto Sans CJK SC"/>
        <family val="2"/>
      </rPr>
      <t xml:space="preserve">＋ 强口令 ＋ 限定源 </t>
    </r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</rPr>
      <t xml:space="preserve">＋ 限速（</t>
    </r>
    <r>
      <rPr>
        <sz val="10"/>
        <rFont val="Arial"/>
        <family val="0"/>
        <charset val="1"/>
      </rPr>
      <t xml:space="preserve">COM-51/52</t>
    </r>
    <r>
      <rPr>
        <sz val="10"/>
        <rFont val="Noto Sans CJK SC"/>
        <family val="2"/>
      </rPr>
      <t xml:space="preserve">）实现，传输层保密由客户加密通讯模块承担（</t>
    </r>
    <r>
      <rPr>
        <sz val="10"/>
        <rFont val="Arial"/>
        <family val="0"/>
        <charset val="1"/>
      </rPr>
      <t xml:space="preserve">NFR-30</t>
    </r>
    <r>
      <rPr>
        <sz val="10"/>
        <rFont val="Noto Sans CJK SC"/>
        <family val="2"/>
      </rPr>
      <t xml:space="preserve">）； 换 </t>
    </r>
    <r>
      <rPr>
        <sz val="10"/>
        <rFont val="Arial"/>
        <family val="0"/>
        <charset val="1"/>
      </rPr>
      <t xml:space="preserve">FTPS </t>
    </r>
    <r>
      <rPr>
        <sz val="10"/>
        <rFont val="Noto Sans CJK SC"/>
        <family val="2"/>
      </rPr>
      <t xml:space="preserve">只改配置与端口，不改闭环逻辑）：</t>
    </r>
  </si>
  <si>
    <r>
      <rPr>
        <sz val="10"/>
        <rFont val="Arial"/>
        <family val="0"/>
        <charset val="1"/>
      </rPr>
      <t xml:space="preserve">F7 / 11.6 </t>
    </r>
    <r>
      <rPr>
        <sz val="10"/>
        <rFont val="Noto Sans CJK SC"/>
        <family val="2"/>
      </rPr>
      <t xml:space="preserve">带宽预算与 </t>
    </r>
    <r>
      <rPr>
        <sz val="10"/>
        <rFont val="Arial"/>
        <family val="0"/>
        <charset val="1"/>
      </rPr>
      <t xml:space="preserve">QoS</t>
    </r>
  </si>
  <si>
    <t xml:space="preserve">COM-50</t>
  </si>
  <si>
    <r>
      <rPr>
        <sz val="10"/>
        <rFont val="Noto Sans CJK SC"/>
        <family val="2"/>
      </rPr>
      <t xml:space="preserve">上行带宽不充裕，常态即占低端 </t>
    </r>
    <r>
      <rPr>
        <sz val="10"/>
        <rFont val="Arial"/>
        <family val="0"/>
        <charset val="1"/>
      </rPr>
      <t xml:space="preserve">83%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</si>
  <si>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v0.5 </t>
    </r>
    <r>
      <rPr>
        <sz val="10"/>
        <rFont val="Noto Sans CJK SC"/>
        <family val="2"/>
      </rPr>
      <t xml:space="preserve">重写】上行带宽不充裕，常态即占低端 </t>
    </r>
    <r>
      <rPr>
        <sz val="10"/>
        <rFont val="Arial"/>
        <family val="0"/>
        <charset val="1"/>
      </rPr>
      <t xml:space="preserve">83%</t>
    </r>
    <r>
      <rPr>
        <sz val="10"/>
        <rFont val="Noto Sans CJK SC"/>
        <family val="2"/>
      </rPr>
      <t xml:space="preserve">。 因此上行必须按有主动管理的共享资源设计，不能按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余量充足静态分配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设计（见 </t>
    </r>
    <r>
      <rPr>
        <sz val="10"/>
        <rFont val="Arial"/>
        <family val="0"/>
        <charset val="1"/>
      </rPr>
      <t xml:space="preserve">COM-51~COM-55</t>
    </r>
    <r>
      <rPr>
        <sz val="10"/>
        <rFont val="Noto Sans CJK SC"/>
        <family val="2"/>
      </rPr>
      <t xml:space="preserve">）。
 </t>
    </r>
    <r>
      <rPr>
        <sz val="10"/>
        <rFont val="Arial"/>
        <family val="0"/>
        <charset val="1"/>
      </rPr>
      <t xml:space="preserve">2026-08-05 </t>
    </r>
    <r>
      <rPr>
        <sz val="10"/>
        <rFont val="Noto Sans CJK SC"/>
        <family val="2"/>
      </rPr>
      <t xml:space="preserve">订正：本条原句为「常态即占低端 </t>
    </r>
    <r>
      <rPr>
        <sz val="10"/>
        <rFont val="Arial"/>
        <family val="0"/>
        <charset val="1"/>
      </rPr>
      <t xml:space="preserve">83%</t>
    </r>
    <r>
      <rPr>
        <sz val="10"/>
        <rFont val="Noto Sans CJK SC"/>
        <family val="2"/>
      </rPr>
      <t xml:space="preserve">，云台 </t>
    </r>
    <r>
      <rPr>
        <sz val="10"/>
        <rFont val="Arial"/>
        <family val="0"/>
        <charset val="1"/>
      </rPr>
      <t xml:space="preserve">boost </t>
    </r>
    <r>
      <rPr>
        <sz val="10"/>
        <rFont val="Noto Sans CJK SC"/>
        <family val="2"/>
      </rPr>
      <t xml:space="preserve">必然超限」，末尾原写「（见 </t>
    </r>
    <r>
      <rPr>
        <sz val="10"/>
        <rFont val="Arial"/>
        <family val="0"/>
        <charset val="1"/>
      </rPr>
      <t xml:space="preserve">COM-58</t>
    </r>
    <r>
      <rPr>
        <sz val="10"/>
        <rFont val="Noto Sans CJK SC"/>
        <family val="2"/>
      </rPr>
      <t xml:space="preserve">）」—— 云台码率控制已取消（</t>
    </r>
    <r>
      <rPr>
        <sz val="10"/>
        <rFont val="Arial"/>
        <family val="0"/>
        <charset val="1"/>
      </rPr>
      <t xml:space="preserve">11 §15.6E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COM-58 </t>
    </r>
    <r>
      <rPr>
        <sz val="10"/>
        <rFont val="Noto Sans CJK SC"/>
        <family val="2"/>
      </rPr>
      <t xml:space="preserve">已改为墓碑行 ⇒ 删该分句并改指现存条目； 「不充裕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常态 </t>
    </r>
    <r>
      <rPr>
        <sz val="10"/>
        <rFont val="Arial"/>
        <family val="0"/>
        <charset val="1"/>
      </rPr>
      <t xml:space="preserve">83% · </t>
    </r>
    <r>
      <rPr>
        <sz val="10"/>
        <rFont val="Noto Sans CJK SC"/>
        <family val="2"/>
      </rPr>
      <t xml:space="preserve">须主动管理」这三项结论不依赖 </t>
    </r>
    <r>
      <rPr>
        <sz val="10"/>
        <rFont val="Arial"/>
        <family val="0"/>
        <charset val="1"/>
      </rPr>
      <t xml:space="preserve">boost</t>
    </r>
    <r>
      <rPr>
        <sz val="10"/>
        <rFont val="Noto Sans CJK SC"/>
        <family val="2"/>
      </rPr>
      <t xml:space="preserve">，独立成立，一字不减</t>
    </r>
  </si>
  <si>
    <t xml:space="preserve">COM-51</t>
  </si>
  <si>
    <r>
      <rPr>
        <sz val="10"/>
        <rFont val="Arial"/>
        <family val="0"/>
        <charset val="1"/>
      </rPr>
      <t xml:space="preserve">FTP </t>
    </r>
    <r>
      <rPr>
        <sz val="10"/>
        <rFont val="Noto Sans CJK SC"/>
        <family val="2"/>
      </rPr>
      <t xml:space="preserve">限速为必须项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</si>
  <si>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FTP </t>
    </r>
    <r>
      <rPr>
        <sz val="10"/>
        <rFont val="Noto Sans CJK SC"/>
        <family val="2"/>
      </rPr>
      <t xml:space="preserve">限速为必须项。</t>
    </r>
    <r>
      <rPr>
        <sz val="10"/>
        <rFont val="Arial"/>
        <family val="0"/>
        <charset val="1"/>
      </rPr>
      <t xml:space="preserve">TCP </t>
    </r>
    <r>
      <rPr>
        <sz val="10"/>
        <rFont val="Noto Sans CJK SC"/>
        <family val="2"/>
      </rPr>
      <t xml:space="preserve">具贪婪性，</t>
    </r>
    <r>
      <rPr>
        <sz val="10"/>
        <rFont val="Arial"/>
        <family val="0"/>
        <charset val="1"/>
      </rPr>
      <t xml:space="preserve">FTP </t>
    </r>
    <r>
      <rPr>
        <sz val="10"/>
        <rFont val="Noto Sans CJK SC"/>
        <family val="2"/>
      </rPr>
      <t xml:space="preserve">传大文件会占满全部剩余带宽并将 </t>
    </r>
    <r>
      <rPr>
        <sz val="10"/>
        <rFont val="Arial"/>
        <family val="0"/>
        <charset val="1"/>
      </rPr>
      <t xml:space="preserve">Zenoh </t>
    </r>
    <r>
      <rPr>
        <sz val="10"/>
        <rFont val="Noto Sans CJK SC"/>
        <family val="2"/>
      </rPr>
      <t xml:space="preserve">控制消息（含急停）挤到队列后方。且 </t>
    </r>
    <r>
      <rPr>
        <sz val="10"/>
        <rFont val="Arial"/>
        <family val="0"/>
        <charset val="1"/>
      </rPr>
      <t xml:space="preserve">FTP </t>
    </r>
    <r>
      <rPr>
        <sz val="10"/>
        <rFont val="Noto Sans CJK SC"/>
        <family val="2"/>
      </rPr>
      <t xml:space="preserve">恰在机器人作业中传输，风险高于视频</t>
    </r>
  </si>
  <si>
    <t xml:space="preserve">COM-52</t>
  </si>
  <si>
    <r>
      <rPr>
        <sz val="10"/>
        <rFont val="Arial"/>
        <family val="0"/>
        <charset val="1"/>
      </rPr>
      <t xml:space="preserve">FTP </t>
    </r>
    <r>
      <rPr>
        <sz val="10"/>
        <rFont val="Noto Sans CJK SC"/>
        <family val="2"/>
      </rPr>
      <t xml:space="preserve">服务端配置带宽上限（如 </t>
    </r>
    <r>
      <rPr>
        <sz val="10"/>
        <rFont val="Arial"/>
        <family val="0"/>
        <charset val="1"/>
      </rPr>
      <t xml:space="preserve">vsftpd local_max_rate</t>
    </r>
    <r>
      <rPr>
        <sz val="10"/>
        <rFont val="Noto Sans CJK SC"/>
        <family val="2"/>
      </rPr>
      <t xml:space="preserve">），建议封顶 </t>
    </r>
    <r>
      <rPr>
        <sz val="10"/>
        <rFont val="Arial"/>
        <family val="0"/>
        <charset val="1"/>
      </rPr>
      <t xml:space="preserve">15 Mbps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</si>
  <si>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FTP </t>
    </r>
    <r>
      <rPr>
        <sz val="10"/>
        <rFont val="Noto Sans CJK SC"/>
        <family val="2"/>
      </rPr>
      <t xml:space="preserve">服务端配置带宽上限（如 </t>
    </r>
    <r>
      <rPr>
        <sz val="10"/>
        <rFont val="Arial"/>
        <family val="0"/>
        <charset val="1"/>
      </rPr>
      <t xml:space="preserve">vsftpd local_max_rate</t>
    </r>
    <r>
      <rPr>
        <sz val="10"/>
        <rFont val="Noto Sans CJK SC"/>
        <family val="2"/>
      </rPr>
      <t xml:space="preserve">），建议封顶 </t>
    </r>
    <r>
      <rPr>
        <sz val="10"/>
        <rFont val="Arial"/>
        <family val="0"/>
        <charset val="1"/>
      </rPr>
      <t xml:space="preserve">15 Mbps</t>
    </r>
  </si>
  <si>
    <t xml:space="preserve">COM-53</t>
  </si>
  <si>
    <t xml:space="preserve">传输时机调度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</si>
  <si>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传输时机调度：优先在驻车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充电时批量传输；作业中仅传高优先级小文件（报警抓拍图）</t>
    </r>
  </si>
  <si>
    <t xml:space="preserve">COM-54</t>
  </si>
  <si>
    <r>
      <rPr>
        <sz val="10"/>
        <rFont val="Noto Sans CJK SC"/>
        <family val="2"/>
      </rPr>
      <t xml:space="preserve">控制面 </t>
    </r>
    <r>
      <rPr>
        <sz val="10"/>
        <rFont val="Arial"/>
        <family val="0"/>
        <charset val="1"/>
      </rPr>
      <t xml:space="preserve">DSCP </t>
    </r>
    <r>
      <rPr>
        <sz val="10"/>
        <rFont val="Noto Sans CJK SC"/>
        <family val="2"/>
      </rPr>
      <t xml:space="preserve">标记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保底带宽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</si>
  <si>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控制面 </t>
    </r>
    <r>
      <rPr>
        <sz val="10"/>
        <rFont val="Arial"/>
        <family val="0"/>
        <charset val="1"/>
      </rPr>
      <t xml:space="preserve">DSCP </t>
    </r>
    <r>
      <rPr>
        <sz val="10"/>
        <rFont val="Noto Sans CJK SC"/>
        <family val="2"/>
      </rPr>
      <t xml:space="preserve">标记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保底带宽。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营区覆盖良好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不等于处处良好，机器人行至边缘或建筑背面时带宽会下降</t>
    </r>
  </si>
  <si>
    <t xml:space="preserve">COM-55</t>
  </si>
  <si>
    <t xml:space="preserve">视频按需推流 —— 云端不观看时不推流</t>
  </si>
  <si>
    <r>
      <rPr>
        <sz val="10"/>
        <rFont val="Noto Sans CJK SC"/>
        <family val="2"/>
      </rPr>
      <t xml:space="preserve">正式需求（原【建议】，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结账）：视频按需推流 —— 云端不观看时不推流。
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主子双码流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部分待 </t>
    </r>
    <r>
      <rPr>
        <sz val="10"/>
        <rFont val="Arial"/>
        <family val="0"/>
        <charset val="1"/>
      </rPr>
      <t xml:space="preserve">§22 #6b —— </t>
    </r>
    <r>
      <rPr>
        <sz val="10"/>
        <rFont val="Noto Sans CJK SC"/>
        <family val="2"/>
      </rPr>
      <t xml:space="preserve">待确认期间的实现行为：只做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按需推流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这一半（它不依赖双码流能力，且是 </t>
    </r>
    <r>
      <rPr>
        <sz val="10"/>
        <rFont val="Arial"/>
        <family val="0"/>
        <charset val="1"/>
      </rPr>
      <t xml:space="preserve">§11.6 </t>
    </r>
    <r>
      <rPr>
        <sz val="10"/>
        <rFont val="Noto Sans CJK SC"/>
        <family val="2"/>
      </rPr>
      <t xml:space="preserve">带宽账成立的关键）；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日常子码流、细看切主码流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这一半不实现、带宽账不为它留余量（</t>
    </r>
    <r>
      <rPr>
        <sz val="10"/>
        <rFont val="Arial"/>
        <family val="0"/>
        <charset val="1"/>
      </rPr>
      <t xml:space="preserve">PAY-13</t>
    </r>
    <r>
      <rPr>
        <sz val="10"/>
        <rFont val="Noto Sans CJK SC"/>
        <family val="2"/>
      </rPr>
      <t xml:space="preserve">）</t>
    </r>
  </si>
  <si>
    <t xml:space="preserve">COM-56</t>
  </si>
  <si>
    <r>
      <rPr>
        <sz val="10"/>
        <rFont val="Noto Sans CJK SC"/>
        <family val="2"/>
      </rPr>
      <t xml:space="preserve">需实测客户加密通讯模块的 </t>
    </r>
    <r>
      <rPr>
        <sz val="10"/>
        <rFont val="Arial"/>
        <family val="0"/>
        <charset val="1"/>
      </rPr>
      <t xml:space="preserve">RTT</t>
    </r>
    <r>
      <rPr>
        <sz val="10"/>
        <rFont val="Noto Sans CJK SC"/>
        <family val="2"/>
      </rPr>
      <t xml:space="preserve">、抖动、加密开销下的实际吞吐</t>
    </r>
  </si>
  <si>
    <r>
      <rPr>
        <sz val="10"/>
        <rFont val="Noto Sans CJK SC"/>
        <family val="2"/>
      </rPr>
      <t xml:space="preserve">正式需求（原【建议】，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结账）：需实测客户加密通讯模块的 </t>
    </r>
    <r>
      <rPr>
        <sz val="10"/>
        <rFont val="Arial"/>
        <family val="0"/>
        <charset val="1"/>
      </rPr>
      <t xml:space="preserve">RTT</t>
    </r>
    <r>
      <rPr>
        <sz val="10"/>
        <rFont val="Noto Sans CJK SC"/>
        <family val="2"/>
      </rPr>
      <t xml:space="preserve">、抖动、加密开销下的实际吞吐。其延迟特性可能与普通 </t>
    </r>
    <r>
      <rPr>
        <sz val="10"/>
        <rFont val="Arial"/>
        <family val="0"/>
        <charset val="1"/>
      </rPr>
      <t xml:space="preserve">4G </t>
    </r>
    <r>
      <rPr>
        <sz val="10"/>
        <rFont val="Noto Sans CJK SC"/>
        <family val="2"/>
      </rPr>
      <t xml:space="preserve">模组差异很大，直接影响急停响应与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模式音频实时性。
 落点： 本条（</t>
    </r>
    <r>
      <rPr>
        <sz val="10"/>
        <rFont val="Arial"/>
        <family val="0"/>
        <charset val="1"/>
      </rPr>
      <t xml:space="preserve">COM-56</t>
    </r>
    <r>
      <rPr>
        <sz val="10"/>
        <rFont val="Noto Sans CJK SC"/>
        <family val="2"/>
      </rPr>
      <t xml:space="preserve">）即该实测项的权威条目 —— 对应的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号按 </t>
    </r>
    <r>
      <rPr>
        <sz val="10"/>
        <rFont val="Arial"/>
        <family val="0"/>
        <charset val="1"/>
      </rPr>
      <t xml:space="preserve">§0.2 </t>
    </r>
    <r>
      <rPr>
        <sz val="10"/>
        <rFont val="Noto Sans CJK SC"/>
        <family val="2"/>
      </rPr>
      <t xml:space="preserve">终裁为 </t>
    </r>
    <r>
      <rPr>
        <sz val="10"/>
        <rFont val="Arial"/>
        <family val="0"/>
        <charset val="1"/>
      </rPr>
      <t xml:space="preserve">M-23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11 §15.4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10 §4.1 </t>
    </r>
    <r>
      <rPr>
        <sz val="10"/>
        <rFont val="Noto Sans CJK SC"/>
        <family val="2"/>
      </rPr>
      <t xml:space="preserve">均已改到位，三册同号同义（ 作废（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 —— 重编号已完成）。 引用时仍优先写 </t>
    </r>
    <r>
      <rPr>
        <sz val="10"/>
        <rFont val="Arial"/>
        <family val="0"/>
        <charset val="1"/>
      </rPr>
      <t xml:space="preserve">COM-56</t>
    </r>
    <r>
      <rPr>
        <sz val="10"/>
        <rFont val="Noto Sans CJK SC"/>
        <family val="2"/>
      </rPr>
      <t xml:space="preserve">（ 理由不再是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怕查错表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，而是 </t>
    </r>
    <r>
      <rPr>
        <sz val="10"/>
        <rFont val="Arial"/>
        <family val="0"/>
        <charset val="1"/>
      </rPr>
      <t xml:space="preserve">COM-56 </t>
    </r>
    <r>
      <rPr>
        <sz val="10"/>
        <rFont val="Noto Sans CJK SC"/>
        <family val="2"/>
      </rPr>
      <t xml:space="preserve">不参与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号空间，不受将来任何顺延影响）。 另一落点 </t>
    </r>
    <r>
      <rPr>
        <sz val="10"/>
        <rFont val="Arial"/>
        <family val="0"/>
        <charset val="1"/>
      </rPr>
      <t xml:space="preserve">10 §4.1 R-19</t>
    </r>
    <r>
      <rPr>
        <sz val="10"/>
        <rFont val="Noto Sans CJK SC"/>
        <family val="2"/>
      </rPr>
      <t xml:space="preserve">； 优先级 </t>
    </r>
    <r>
      <rPr>
        <sz val="10"/>
        <rFont val="Arial"/>
        <family val="0"/>
        <charset val="1"/>
      </rPr>
      <t xml:space="preserve">P0</t>
    </r>
    <r>
      <rPr>
        <sz val="10"/>
        <rFont val="Noto Sans CJK SC"/>
        <family val="2"/>
      </rPr>
      <t xml:space="preserve">。
 实测到位前的实现行为：</t>
    </r>
    <r>
      <rPr>
        <sz val="10"/>
        <rFont val="Arial"/>
        <family val="0"/>
        <charset val="1"/>
      </rPr>
      <t xml:space="preserve">11 §11.1 </t>
    </r>
    <r>
      <rPr>
        <sz val="10"/>
        <rFont val="Noto Sans CJK SC"/>
        <family val="2"/>
      </rPr>
      <t xml:space="preserve">的全部时延预算与 </t>
    </r>
    <r>
      <rPr>
        <sz val="10"/>
        <rFont val="Arial"/>
        <family val="0"/>
        <charset val="1"/>
      </rPr>
      <t xml:space="preserve">§2.4.2 QoS </t>
    </r>
    <r>
      <rPr>
        <sz val="10"/>
        <rFont val="Noto Sans CJK SC"/>
        <family val="2"/>
      </rPr>
      <t xml:space="preserve">档位均未计入该模块开销 ⇒ 急停端到端 </t>
    </r>
    <r>
      <rPr>
        <sz val="10"/>
        <rFont val="Arial"/>
        <family val="0"/>
        <charset val="1"/>
      </rPr>
      <t xml:space="preserve">300 ms </t>
    </r>
    <r>
      <rPr>
        <sz val="10"/>
        <rFont val="Noto Sans CJK SC"/>
        <family val="2"/>
      </rPr>
      <t xml:space="preserve">指标须按「已扣掉未知加密开销」保守解读， 不得把余量当成可用余量再分配给别的链路</t>
    </r>
  </si>
  <si>
    <t xml:space="preserve">COM-57</t>
  </si>
  <si>
    <t xml:space="preserve">需估算日均作业数据量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</si>
  <si>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需估算日均作业数据量。</t>
    </r>
    <r>
      <rPr>
        <sz val="10"/>
        <rFont val="Arial"/>
        <family val="0"/>
        <charset val="1"/>
      </rPr>
      <t xml:space="preserve">6 MB/s </t>
    </r>
    <r>
      <rPr>
        <sz val="10"/>
        <rFont val="Noto Sans CJK SC"/>
        <family val="2"/>
      </rPr>
      <t xml:space="preserve">满速下传 </t>
    </r>
    <r>
      <rPr>
        <sz val="10"/>
        <rFont val="Arial"/>
        <family val="0"/>
        <charset val="1"/>
      </rPr>
      <t xml:space="preserve">1 GB </t>
    </r>
    <r>
      <rPr>
        <sz val="10"/>
        <rFont val="Noto Sans CJK SC"/>
        <family val="2"/>
      </rPr>
      <t xml:space="preserve">约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分钟；若日产 </t>
    </r>
    <r>
      <rPr>
        <sz val="10"/>
        <rFont val="Arial"/>
        <family val="0"/>
        <charset val="1"/>
      </rPr>
      <t xml:space="preserve">10 GB </t>
    </r>
    <r>
      <rPr>
        <sz val="10"/>
        <rFont val="Noto Sans CJK SC"/>
        <family val="2"/>
      </rPr>
      <t xml:space="preserve">则需半小时满速上行，此数值决定传输调度策略</t>
    </r>
  </si>
  <si>
    <r>
      <rPr>
        <sz val="10"/>
        <rFont val="Arial"/>
        <family val="0"/>
        <charset val="1"/>
      </rPr>
      <t xml:space="preserve">F8 / 12.1 </t>
    </r>
    <r>
      <rPr>
        <sz val="10"/>
        <rFont val="Noto Sans CJK SC"/>
        <family val="2"/>
      </rPr>
      <t xml:space="preserve">总体</t>
    </r>
  </si>
  <si>
    <t xml:space="preserve">HMI-01</t>
  </si>
  <si>
    <r>
      <rPr>
        <sz val="10"/>
        <rFont val="Noto Sans CJK SC"/>
        <family val="2"/>
      </rPr>
      <t xml:space="preserve">系统提供本地 </t>
    </r>
    <r>
      <rPr>
        <sz val="10"/>
        <rFont val="Arial"/>
        <family val="0"/>
        <charset val="1"/>
      </rPr>
      <t xml:space="preserve">HMI Web Server</t>
    </r>
    <r>
      <rPr>
        <sz val="10"/>
        <rFont val="Noto Sans CJK SC"/>
        <family val="2"/>
      </rPr>
      <t xml:space="preserve">，可视化显示机器人作业数据与系统数据</t>
    </r>
  </si>
  <si>
    <r>
      <rPr>
        <sz val="10"/>
        <rFont val="Noto Sans CJK SC"/>
        <family val="2"/>
      </rPr>
      <t xml:space="preserve">【真机浏览器】访问 </t>
    </r>
    <r>
      <rPr>
        <sz val="10"/>
        <rFont val="Arial"/>
        <family val="0"/>
        <charset val="1"/>
      </rPr>
      <t xml:space="preserve">HMI</t>
    </r>
    <r>
      <rPr>
        <sz val="10"/>
        <rFont val="Noto Sans CJK SC"/>
        <family val="2"/>
      </rPr>
      <t xml:space="preserve">（端口 </t>
    </r>
    <r>
      <rPr>
        <sz val="10"/>
        <rFont val="Arial"/>
        <family val="0"/>
        <charset val="1"/>
      </rPr>
      <t xml:space="preserve">18083</t>
    </r>
    <r>
      <rPr>
        <sz val="10"/>
        <rFont val="Noto Sans CJK SC"/>
        <family val="2"/>
      </rPr>
      <t xml:space="preserve">），逐项操作并与云端显示对照。</t>
    </r>
  </si>
  <si>
    <r>
      <rPr>
        <sz val="10"/>
        <rFont val="Arial"/>
        <family val="0"/>
        <charset val="1"/>
      </rPr>
      <t xml:space="preserve">🟡 HMI </t>
    </r>
    <r>
      <rPr>
        <sz val="10"/>
        <rFont val="Noto Sans CJK SC"/>
        <family val="2"/>
      </rPr>
      <t xml:space="preserve">服务已在 </t>
    </r>
    <r>
      <rPr>
        <sz val="10"/>
        <rFont val="Arial"/>
        <family val="0"/>
        <charset val="1"/>
      </rPr>
      <t xml:space="preserve">18083 </t>
    </r>
    <r>
      <rPr>
        <sz val="10"/>
        <rFont val="Noto Sans CJK SC"/>
        <family val="2"/>
      </rPr>
      <t xml:space="preserve">端口起来，功能未系统测</t>
    </r>
  </si>
  <si>
    <t xml:space="preserve">HMI-02</t>
  </si>
  <si>
    <t xml:space="preserve">显示内容</t>
  </si>
  <si>
    <r>
      <rPr>
        <sz val="10"/>
        <rFont val="Noto Sans CJK SC"/>
        <family val="2"/>
      </rPr>
      <t xml:space="preserve">显示内容：</t>
    </r>
    <r>
      <rPr>
        <sz val="10"/>
        <rFont val="Arial"/>
        <family val="0"/>
        <charset val="1"/>
      </rPr>
      <t xml:space="preserve">RTK/GPS </t>
    </r>
    <r>
      <rPr>
        <sz val="10"/>
        <rFont val="Noto Sans CJK SC"/>
        <family val="2"/>
      </rPr>
      <t xml:space="preserve">位置点、航向、多位置点构成的路径、电子围栏、系统运行与作业事件、系统状态、系统故障</t>
    </r>
  </si>
  <si>
    <t xml:space="preserve">HMI-03</t>
  </si>
  <si>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以只读为主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</si>
  <si>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v0.5 </t>
    </r>
    <r>
      <rPr>
        <sz val="10"/>
        <rFont val="Noto Sans CJK SC"/>
        <family val="2"/>
      </rPr>
      <t xml:space="preserve">订正】 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以只读为主。可写操作为闭集白名单，当前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类（急停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点击导航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退出喊话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任务暂停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取消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地理要素改名与删点位）。 每新增一类须重新论证并评审 —— 见 </t>
    </r>
    <r>
      <rPr>
        <sz val="10"/>
        <rFont val="Arial"/>
        <family val="0"/>
        <charset val="1"/>
      </rPr>
      <t xml:space="preserve">11 §12.1.1</t>
    </r>
    <r>
      <rPr>
        <sz val="10"/>
        <rFont val="Noto Sans CJK SC"/>
        <family val="2"/>
      </rPr>
      <t xml:space="preserve">「上行 </t>
    </r>
    <r>
      <rPr>
        <sz val="10"/>
        <rFont val="Arial"/>
        <family val="0"/>
        <charset val="1"/>
      </rPr>
      <t xml:space="preserve">type </t>
    </r>
    <r>
      <rPr>
        <sz val="10"/>
        <rFont val="Noto Sans CJK SC"/>
        <family val="2"/>
      </rPr>
      <t xml:space="preserve">白名单规范表（</t>
    </r>
    <r>
      <rPr>
        <sz val="10"/>
        <rFont val="Arial"/>
        <family val="0"/>
        <charset val="1"/>
      </rPr>
      <t xml:space="preserve">HMI-03 </t>
    </r>
    <r>
      <rPr>
        <sz val="10"/>
        <rFont val="Noto Sans CJK SC"/>
        <family val="2"/>
      </rPr>
      <t xml:space="preserve">定稿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冻结）」，闭集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值 ＝ </t>
    </r>
    <r>
      <rPr>
        <sz val="10"/>
        <rFont val="Arial"/>
        <family val="0"/>
        <charset val="1"/>
      </rPr>
      <t xml:space="preserve">W1 estop · W2 goto · W3 exit_broadcast · W4 geo · W7 task</t>
    </r>
    <r>
      <rPr>
        <sz val="10"/>
        <rFont val="Noto Sans CJK SC"/>
        <family val="2"/>
      </rPr>
      <t xml:space="preserve">。
 【</t>
    </r>
    <r>
      <rPr>
        <sz val="10"/>
        <rFont val="Arial"/>
        <family val="0"/>
        <charset val="1"/>
      </rPr>
      <t xml:space="preserve">2026-07-30 </t>
    </r>
    <r>
      <rPr>
        <sz val="10"/>
        <rFont val="Noto Sans CJK SC"/>
        <family val="2"/>
      </rPr>
      <t xml:space="preserve">指针订正】原指 </t>
    </r>
    <r>
      <rPr>
        <sz val="10"/>
        <rFont val="Arial"/>
        <family val="0"/>
        <charset val="1"/>
      </rPr>
      <t xml:space="preserve">11 §12.3 —— </t>
    </r>
    <r>
      <rPr>
        <sz val="10"/>
        <rFont val="Noto Sans CJK SC"/>
        <family val="2"/>
      </rPr>
      <t xml:space="preserve">该节下另有一套 </t>
    </r>
    <r>
      <rPr>
        <sz val="10"/>
        <rFont val="Arial"/>
        <family val="0"/>
        <charset val="1"/>
      </rPr>
      <t xml:space="preserve">W </t>
    </r>
    <r>
      <rPr>
        <sz val="10"/>
        <rFont val="Noto Sans CJK SC"/>
        <family val="2"/>
      </rPr>
      <t xml:space="preserve">编号，是歧义源（同名 </t>
    </r>
    <r>
      <rPr>
        <sz val="10"/>
        <rFont val="Arial"/>
        <family val="0"/>
        <charset val="1"/>
      </rPr>
      <t xml:space="preserve">§12.3 </t>
    </r>
    <r>
      <rPr>
        <sz val="10"/>
        <rFont val="Noto Sans CJK SC"/>
        <family val="2"/>
      </rPr>
      <t xml:space="preserve">出现两次：「链路语义与断链行为」与「</t>
    </r>
    <r>
      <rPr>
        <sz val="10"/>
        <rFont val="Arial"/>
        <family val="0"/>
        <charset val="1"/>
      </rPr>
      <t xml:space="preserve">HMI-03 </t>
    </r>
    <r>
      <rPr>
        <sz val="10"/>
        <rFont val="Noto Sans CJK SC"/>
        <family val="2"/>
      </rPr>
      <t xml:space="preserve">订正：从两项改为六类」）。 唯一权威闭集只在 </t>
    </r>
    <r>
      <rPr>
        <sz val="10"/>
        <rFont val="Arial"/>
        <family val="0"/>
        <charset val="1"/>
      </rPr>
      <t xml:space="preserve">§12.1.1</t>
    </r>
    <r>
      <rPr>
        <sz val="10"/>
        <rFont val="Noto Sans CJK SC"/>
        <family val="2"/>
      </rPr>
      <t xml:space="preserve">；引用本条时不得再指向 </t>
    </r>
    <r>
      <rPr>
        <sz val="10"/>
        <rFont val="Arial"/>
        <family val="0"/>
        <charset val="1"/>
      </rPr>
      <t xml:space="preserve">§12.3</t>
    </r>
  </si>
  <si>
    <t xml:space="preserve">HMI-03a</t>
  </si>
  <si>
    <r>
      <rPr>
        <sz val="10"/>
        <rFont val="Noto Sans CJK SC"/>
        <family val="2"/>
      </rPr>
      <t xml:space="preserve">安全约束（电子围栏）与持续驱动（遥控）永不进入 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可写面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</si>
  <si>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v0.5 </t>
    </r>
    <r>
      <rPr>
        <sz val="10"/>
        <rFont val="Noto Sans CJK SC"/>
        <family val="2"/>
      </rPr>
      <t xml:space="preserve">新增】安全约束（电子围栏）与持续驱动（遥控）永不进入 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可写面。 这是 </t>
    </r>
    <r>
      <rPr>
        <sz val="10"/>
        <rFont val="Arial"/>
        <family val="0"/>
        <charset val="1"/>
      </rPr>
      <t xml:space="preserve">U23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不鉴权」成立的前提，不是偏好 —— 白名单极小是它唯一的护栏</t>
    </r>
  </si>
  <si>
    <t xml:space="preserve">HMI-04</t>
  </si>
  <si>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与云端后台的数据必须来自同一事实来源（同一套事件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状态话题），不得有私有数据通路，否则两端显示会不一致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</si>
  <si>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与云端后台的数据必须来自同一事实来源（同一套事件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状态话题），不得有私有数据通路，否则两端显示会不一致</t>
    </r>
  </si>
  <si>
    <t xml:space="preserve">HMI-05</t>
  </si>
  <si>
    <r>
      <rPr>
        <sz val="10"/>
        <rFont val="Arial"/>
        <family val="0"/>
        <charset val="1"/>
      </rPr>
      <t xml:space="preserve">20 Hz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数据推送至 </t>
    </r>
    <r>
      <rPr>
        <sz val="10"/>
        <rFont val="Arial"/>
        <family val="0"/>
        <charset val="1"/>
      </rPr>
      <t xml:space="preserve">Web </t>
    </r>
    <r>
      <rPr>
        <sz val="10"/>
        <rFont val="Noto Sans CJK SC"/>
        <family val="2"/>
      </rPr>
      <t xml:space="preserve">前端需降频（</t>
    </r>
    <r>
      <rPr>
        <sz val="10"/>
        <rFont val="Arial"/>
        <family val="0"/>
        <charset val="1"/>
      </rPr>
      <t xml:space="preserve">5–10 Hz </t>
    </r>
    <r>
      <rPr>
        <sz val="10"/>
        <rFont val="Noto Sans CJK SC"/>
        <family val="2"/>
      </rPr>
      <t xml:space="preserve">足够）</t>
    </r>
    <r>
      <rPr>
        <sz val="10"/>
        <rFont val="Arial"/>
        <family val="0"/>
        <charset val="1"/>
      </rPr>
      <t xml:space="preserve">+ WebSocket </t>
    </r>
    <r>
      <rPr>
        <sz val="10"/>
        <rFont val="Noto Sans CJK SC"/>
        <family val="2"/>
      </rPr>
      <t xml:space="preserve">传输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</si>
  <si>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20 Hz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数据推送至 </t>
    </r>
    <r>
      <rPr>
        <sz val="10"/>
        <rFont val="Arial"/>
        <family val="0"/>
        <charset val="1"/>
      </rPr>
      <t xml:space="preserve">Web </t>
    </r>
    <r>
      <rPr>
        <sz val="10"/>
        <rFont val="Noto Sans CJK SC"/>
        <family val="2"/>
      </rPr>
      <t xml:space="preserve">前端需降频（</t>
    </r>
    <r>
      <rPr>
        <sz val="10"/>
        <rFont val="Arial"/>
        <family val="0"/>
        <charset val="1"/>
      </rPr>
      <t xml:space="preserve">5–10 Hz </t>
    </r>
    <r>
      <rPr>
        <sz val="10"/>
        <rFont val="Noto Sans CJK SC"/>
        <family val="2"/>
      </rPr>
      <t xml:space="preserve">足够）</t>
    </r>
    <r>
      <rPr>
        <sz val="10"/>
        <rFont val="Arial"/>
        <family val="0"/>
        <charset val="1"/>
      </rPr>
      <t xml:space="preserve">+ WebSocket </t>
    </r>
    <r>
      <rPr>
        <sz val="10"/>
        <rFont val="Noto Sans CJK SC"/>
        <family val="2"/>
      </rPr>
      <t xml:space="preserve">传输</t>
    </r>
  </si>
  <si>
    <t xml:space="preserve">HMI-06</t>
  </si>
  <si>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服务不得影响实时链路，建议轻量实现并限制资源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</si>
  <si>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服务不得影响实时链路，建议轻量实现并限制资源</t>
    </r>
  </si>
  <si>
    <t xml:space="preserve">HMI-07</t>
  </si>
  <si>
    <r>
      <rPr>
        <sz val="10"/>
        <rFont val="Noto Sans CJK SC"/>
        <family val="2"/>
      </rPr>
      <t xml:space="preserve">显示当前速度门状态与降速原因（自由空间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传感器健康 </t>
    </r>
    <r>
      <rPr>
        <sz val="10"/>
        <rFont val="Arial"/>
        <family val="0"/>
        <charset val="1"/>
      </rPr>
      <t xml:space="preserve">/ RTK </t>
    </r>
    <r>
      <rPr>
        <sz val="10"/>
        <rFont val="Noto Sans CJK SC"/>
        <family val="2"/>
      </rPr>
      <t xml:space="preserve">质量），便于现场理解机器人为何减速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</si>
  <si>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显示当前速度门状态与降速原因（自由空间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传感器健康 </t>
    </r>
    <r>
      <rPr>
        <sz val="10"/>
        <rFont val="Arial"/>
        <family val="0"/>
        <charset val="1"/>
      </rPr>
      <t xml:space="preserve">/ RTK </t>
    </r>
    <r>
      <rPr>
        <sz val="10"/>
        <rFont val="Noto Sans CJK SC"/>
        <family val="2"/>
      </rPr>
      <t xml:space="preserve">质量），便于现场理解机器人为何减速</t>
    </r>
  </si>
  <si>
    <r>
      <rPr>
        <sz val="10"/>
        <rFont val="Arial"/>
        <family val="0"/>
        <charset val="1"/>
      </rPr>
      <t xml:space="preserve">F8 / 12.2 </t>
    </r>
    <r>
      <rPr>
        <sz val="10"/>
        <rFont val="Noto Sans CJK SC"/>
        <family val="2"/>
      </rPr>
      <t xml:space="preserve">可写操作</t>
    </r>
  </si>
  <si>
    <t xml:space="preserve">HMI-10</t>
  </si>
  <si>
    <t xml:space="preserve">点击导航</t>
  </si>
  <si>
    <t xml:space="preserve">点击导航：在位置点和路径可视化基础上，支持鼠标点击位置点或路径中的任意位置，触发导航至该点</t>
  </si>
  <si>
    <t xml:space="preserve">HMI-11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</si>
  <si>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待确认：点击点是否必须落在围栏内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已有路径上？若不可达如何反馈？是否打断当前任务？相对云端任务的优先级？</t>
    </r>
  </si>
  <si>
    <t xml:space="preserve">HMI-20</t>
  </si>
  <si>
    <t xml:space="preserve">急停</t>
  </si>
  <si>
    <t xml:space="preserve">急停：支持鼠标点击急停，触发机器人在任何情况下停车，优先级最高，可打断任何任务</t>
  </si>
  <si>
    <t xml:space="preserve">HMI-21</t>
  </si>
  <si>
    <r>
      <rPr>
        <sz val="10"/>
        <rFont val="Noto Sans CJK SC"/>
        <family val="2"/>
      </rPr>
      <t xml:space="preserve">见 </t>
    </r>
    <r>
      <rPr>
        <sz val="10"/>
        <rFont val="Arial"/>
        <family val="0"/>
        <charset val="1"/>
      </rPr>
      <t xml:space="preserve">NAV-62 ~ NAV-64</t>
    </r>
    <r>
      <rPr>
        <sz val="10"/>
        <rFont val="Noto Sans CJK SC"/>
        <family val="2"/>
      </rPr>
      <t xml:space="preserve">（专用最短路径直达 </t>
    </r>
    <r>
      <rPr>
        <sz val="10"/>
        <rFont val="Arial"/>
        <family val="0"/>
        <charset val="1"/>
      </rPr>
      <t xml:space="preserve">Tier 1</t>
    </r>
    <r>
      <rPr>
        <sz val="10"/>
        <rFont val="Noto Sans CJK SC"/>
        <family val="2"/>
      </rPr>
      <t xml:space="preserve">、硬件急停兜底、链路健康显示）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</si>
  <si>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见 </t>
    </r>
    <r>
      <rPr>
        <sz val="10"/>
        <rFont val="Arial"/>
        <family val="0"/>
        <charset val="1"/>
      </rPr>
      <t xml:space="preserve">NAV-62 ~ NAV-64</t>
    </r>
    <r>
      <rPr>
        <sz val="10"/>
        <rFont val="Noto Sans CJK SC"/>
        <family val="2"/>
      </rPr>
      <t xml:space="preserve">（专用最短路径直达 </t>
    </r>
    <r>
      <rPr>
        <sz val="10"/>
        <rFont val="Arial"/>
        <family val="0"/>
        <charset val="1"/>
      </rPr>
      <t xml:space="preserve">Tier 1</t>
    </r>
    <r>
      <rPr>
        <sz val="10"/>
        <rFont val="Noto Sans CJK SC"/>
        <family val="2"/>
      </rPr>
      <t xml:space="preserve">、硬件急停兜底、链路健康显示）</t>
    </r>
  </si>
  <si>
    <t xml:space="preserve">HMI-30</t>
  </si>
  <si>
    <r>
      <rPr>
        <sz val="10"/>
        <rFont val="Noto Sans CJK SC"/>
        <family val="2"/>
      </rPr>
      <t xml:space="preserve">增加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强制退出广播（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模式）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按钮，作为 </t>
    </r>
    <r>
      <rPr>
        <sz val="10"/>
        <rFont val="Arial"/>
        <family val="0"/>
        <charset val="1"/>
      </rPr>
      <t xml:space="preserve">VOI-26 </t>
    </r>
    <r>
      <rPr>
        <sz val="10"/>
        <rFont val="Noto Sans CJK SC"/>
        <family val="2"/>
      </rPr>
      <t xml:space="preserve">的兜底路径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</si>
  <si>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增加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强制退出广播（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模式）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按钮，作为 </t>
    </r>
    <r>
      <rPr>
        <sz val="10"/>
        <rFont val="Arial"/>
        <family val="0"/>
        <charset val="1"/>
      </rPr>
      <t xml:space="preserve">VOI-26 </t>
    </r>
    <r>
      <rPr>
        <sz val="10"/>
        <rFont val="Noto Sans CJK SC"/>
        <family val="2"/>
      </rPr>
      <t xml:space="preserve">的兜底路径</t>
    </r>
  </si>
  <si>
    <r>
      <rPr>
        <sz val="10"/>
        <rFont val="Arial"/>
        <family val="0"/>
        <charset val="1"/>
      </rPr>
      <t xml:space="preserve">F9 / 14.1 AI Runtime </t>
    </r>
    <r>
      <rPr>
        <sz val="10"/>
        <rFont val="Noto Sans CJK SC"/>
        <family val="2"/>
      </rPr>
      <t xml:space="preserve">定位</t>
    </r>
  </si>
  <si>
    <t xml:space="preserve">AI-01</t>
  </si>
  <si>
    <r>
      <rPr>
        <sz val="10"/>
        <rFont val="Arial"/>
        <family val="0"/>
        <charset val="1"/>
      </rPr>
      <t xml:space="preserve">AI Runtime </t>
    </r>
    <r>
      <rPr>
        <sz val="10"/>
        <rFont val="Noto Sans CJK SC"/>
        <family val="2"/>
      </rPr>
      <t xml:space="preserve">由若干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模型推理构成，全部以独立周边服务形式存在</t>
    </r>
  </si>
  <si>
    <r>
      <rPr>
        <sz val="10"/>
        <rFont val="Noto Sans CJK SC"/>
        <family val="2"/>
      </rPr>
      <t xml:space="preserve">【离线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真机】离线用生产配置跑 </t>
    </r>
    <r>
      <rPr>
        <sz val="10"/>
        <rFont val="Arial"/>
        <family val="0"/>
        <charset val="1"/>
      </rPr>
      <t xml:space="preserve">p4 </t>
    </r>
    <r>
      <rPr>
        <sz val="10"/>
        <rFont val="Noto Sans CJK SC"/>
        <family val="2"/>
      </rPr>
      <t xml:space="preserve">判据（</t>
    </r>
    <r>
      <rPr>
        <sz val="10"/>
        <rFont val="Arial"/>
        <family val="0"/>
        <charset val="1"/>
      </rPr>
      <t xml:space="preserve">orchestrator</t>
    </r>
    <r>
      <rPr>
        <sz val="10"/>
        <rFont val="Noto Sans CJK SC"/>
        <family val="2"/>
      </rPr>
      <t xml:space="preserve">）；真机用语音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文本验证识别、路由与执行。</t>
    </r>
  </si>
  <si>
    <t xml:space="preserve">AI-02</t>
  </si>
  <si>
    <r>
      <rPr>
        <sz val="10"/>
        <rFont val="Noto Sans CJK SC"/>
        <family val="2"/>
      </rPr>
      <t xml:space="preserve">服务接口为 </t>
    </r>
    <r>
      <rPr>
        <sz val="10"/>
        <rFont val="Arial"/>
        <family val="0"/>
        <charset val="1"/>
      </rPr>
      <t xml:space="preserve">OpenAI API </t>
    </r>
    <r>
      <rPr>
        <sz val="10"/>
        <rFont val="Noto Sans CJK SC"/>
        <family val="2"/>
      </rPr>
      <t xml:space="preserve">形式 及特有模式</t>
    </r>
  </si>
  <si>
    <t xml:space="preserve">AI-03</t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</si>
  <si>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为端侧小模型</t>
    </r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</si>
  <si>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为端侧小模型：</t>
    </r>
    <r>
      <rPr>
        <sz val="10"/>
        <rFont val="Arial"/>
        <family val="0"/>
        <charset val="1"/>
      </rPr>
      <t xml:space="preserve">llama.cpp / llama-server </t>
    </r>
    <r>
      <rPr>
        <sz val="10"/>
        <rFont val="Noto Sans CJK SC"/>
        <family val="2"/>
      </rPr>
      <t xml:space="preserve">运行 </t>
    </r>
    <r>
      <rPr>
        <sz val="10"/>
        <rFont val="Arial"/>
        <family val="0"/>
        <charset val="1"/>
      </rPr>
      <t xml:space="preserve">qwen2.5-3b-instruct-q4_k_m.gguf</t>
    </r>
    <r>
      <rPr>
        <sz val="10"/>
        <rFont val="Noto Sans CJK SC"/>
        <family val="2"/>
      </rPr>
      <t xml:space="preserve">，基准推理速度约 </t>
    </r>
    <r>
      <rPr>
        <sz val="10"/>
        <rFont val="Arial"/>
        <family val="0"/>
        <charset val="1"/>
      </rPr>
      <t xml:space="preserve">26 t/s</t>
    </r>
  </si>
  <si>
    <t xml:space="preserve">AI-04</t>
  </si>
  <si>
    <t xml:space="preserve">端侧部署保证数据不出设备，符合营区保密要求</t>
  </si>
  <si>
    <t xml:space="preserve">AI-05</t>
  </si>
  <si>
    <r>
      <rPr>
        <sz val="10"/>
        <rFont val="Noto Sans CJK SC"/>
        <family val="2"/>
      </rPr>
      <t xml:space="preserve">该服务化设计合理，</t>
    </r>
    <r>
      <rPr>
        <sz val="10"/>
        <rFont val="Arial"/>
        <family val="0"/>
        <charset val="1"/>
      </rPr>
      <t xml:space="preserve">V6 </t>
    </r>
    <r>
      <rPr>
        <sz val="10"/>
        <rFont val="Noto Sans CJK SC"/>
        <family val="2"/>
      </rPr>
      <t xml:space="preserve">予以保留</t>
    </r>
  </si>
  <si>
    <r>
      <rPr>
        <sz val="10"/>
        <rFont val="Arial"/>
        <family val="0"/>
        <charset val="1"/>
      </rPr>
      <t xml:space="preserve">F9 / 14.2 LLM </t>
    </r>
    <r>
      <rPr>
        <sz val="10"/>
        <rFont val="Noto Sans CJK SC"/>
        <family val="2"/>
      </rPr>
      <t xml:space="preserve">在架构中的定位</t>
    </r>
  </si>
  <si>
    <t xml:space="preserve">AI-10</t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</si>
  <si>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定位为翻译层，而非决策层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</si>
  <si>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定位为翻译层，而非决策层：
入口：自然语言 → 结构化指令
出口：结构化状态 → 自然语言报告</t>
    </r>
  </si>
  <si>
    <t xml:space="preserve">AI-11</t>
  </si>
  <si>
    <r>
      <rPr>
        <sz val="10"/>
        <rFont val="Noto Sans CJK SC"/>
        <family val="2"/>
      </rPr>
      <t xml:space="preserve">任务规划主体使用规则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状态机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行为树（确定性、可测试、可审计），不交由 </t>
    </r>
    <r>
      <rPr>
        <sz val="10"/>
        <rFont val="Arial"/>
        <family val="0"/>
        <charset val="1"/>
      </rPr>
      <t xml:space="preserve">LLM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</si>
  <si>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任务规划主体使用规则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状态机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行为树（确定性、可测试、可审计），不交由 </t>
    </r>
    <r>
      <rPr>
        <sz val="10"/>
        <rFont val="Arial"/>
        <family val="0"/>
        <charset val="1"/>
      </rPr>
      <t xml:space="preserve">LLM</t>
    </r>
  </si>
  <si>
    <t xml:space="preserve">AI-12</t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</si>
  <si>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失效时机器人仍应能按预定路线完成巡逻（与 </t>
    </r>
    <r>
      <rPr>
        <sz val="10"/>
        <rFont val="Arial"/>
        <family val="0"/>
        <charset val="1"/>
      </rPr>
      <t xml:space="preserve">NAV-34 </t>
    </r>
    <r>
      <rPr>
        <sz val="10"/>
        <rFont val="Noto Sans CJK SC"/>
        <family val="2"/>
      </rPr>
      <t xml:space="preserve">一致）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</si>
  <si>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失效时机器人仍应能按预定路线完成巡逻（与 </t>
    </r>
    <r>
      <rPr>
        <sz val="10"/>
        <rFont val="Arial"/>
        <family val="0"/>
        <charset val="1"/>
      </rPr>
      <t xml:space="preserve">NAV-34 </t>
    </r>
    <r>
      <rPr>
        <sz val="10"/>
        <rFont val="Noto Sans CJK SC"/>
        <family val="2"/>
      </rPr>
      <t xml:space="preserve">一致）</t>
    </r>
  </si>
  <si>
    <r>
      <rPr>
        <sz val="10"/>
        <rFont val="Arial"/>
        <family val="0"/>
        <charset val="1"/>
      </rPr>
      <t xml:space="preserve">F9 / 14.3 ASR </t>
    </r>
    <r>
      <rPr>
        <sz val="10"/>
        <rFont val="Noto Sans CJK SC"/>
        <family val="2"/>
      </rPr>
      <t xml:space="preserve">后处理</t>
    </r>
  </si>
  <si>
    <t xml:space="preserve">AI-20</t>
  </si>
  <si>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已实现</t>
    </r>
  </si>
  <si>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已实现：</t>
    </r>
    <r>
      <rPr>
        <sz val="10"/>
        <rFont val="Arial"/>
        <family val="0"/>
        <charset val="1"/>
      </rPr>
      <t xml:space="preserve">ASR </t>
    </r>
    <r>
      <rPr>
        <sz val="10"/>
        <rFont val="Noto Sans CJK SC"/>
        <family val="2"/>
      </rPr>
      <t xml:space="preserve">推理文本可能有错别字或完全错误的内容，需前处理，主要通过正则纠正易错的 </t>
    </r>
    <r>
      <rPr>
        <sz val="10"/>
        <rFont val="Arial"/>
        <family val="0"/>
        <charset val="1"/>
      </rPr>
      <t xml:space="preserve">2–5 </t>
    </r>
    <r>
      <rPr>
        <sz val="10"/>
        <rFont val="Noto Sans CJK SC"/>
        <family val="2"/>
      </rPr>
      <t xml:space="preserve">字短语</t>
    </r>
  </si>
  <si>
    <r>
      <rPr>
        <sz val="10"/>
        <rFont val="Arial"/>
        <family val="0"/>
        <charset val="1"/>
      </rPr>
      <t xml:space="preserve">✅ ASR </t>
    </r>
    <r>
      <rPr>
        <sz val="10"/>
        <rFont val="Noto Sans CJK SC"/>
        <family val="2"/>
      </rPr>
      <t xml:space="preserve">后处理在真机语音测试中使用（</t>
    </r>
    <r>
      <rPr>
        <sz val="10"/>
        <rFont val="Arial"/>
        <family val="0"/>
        <charset val="1"/>
      </rPr>
      <t xml:space="preserve">10-24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10-25</t>
    </r>
    <r>
      <rPr>
        <sz val="10"/>
        <rFont val="Noto Sans CJK SC"/>
        <family val="2"/>
      </rPr>
      <t xml:space="preserve">）</t>
    </r>
  </si>
  <si>
    <t xml:space="preserve">AI-21</t>
  </si>
  <si>
    <t xml:space="preserve">改为三层纠错，且纠错规则是数据不是代码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</si>
  <si>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改为三层纠错，且纠错规则是数据不是代码：</t>
    </r>
  </si>
  <si>
    <t xml:space="preserve">AI-22</t>
  </si>
  <si>
    <r>
      <rPr>
        <sz val="10"/>
        <rFont val="Arial"/>
        <family val="0"/>
        <charset val="1"/>
      </rPr>
      <t xml:space="preserve">L3 </t>
    </r>
    <r>
      <rPr>
        <sz val="10"/>
        <rFont val="Noto Sans CJK SC"/>
        <family val="2"/>
      </rPr>
      <t xml:space="preserve">是最有价值的一层，且与 </t>
    </r>
    <r>
      <rPr>
        <sz val="10"/>
        <rFont val="Arial"/>
        <family val="0"/>
        <charset val="1"/>
      </rPr>
      <t xml:space="preserve">AI-41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枚举闭集约束）是同一件事的两端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</si>
  <si>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L3 </t>
    </r>
    <r>
      <rPr>
        <sz val="10"/>
        <rFont val="Noto Sans CJK SC"/>
        <family val="2"/>
      </rPr>
      <t xml:space="preserve">是最有价值的一层，且与 </t>
    </r>
    <r>
      <rPr>
        <sz val="10"/>
        <rFont val="Arial"/>
        <family val="0"/>
        <charset val="1"/>
      </rPr>
      <t xml:space="preserve">AI-41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枚举闭集约束）是同一件事的两端：</t>
    </r>
    <r>
      <rPr>
        <sz val="10"/>
        <rFont val="Arial"/>
        <family val="0"/>
        <charset val="1"/>
      </rPr>
      <t xml:space="preserve">ASR </t>
    </r>
    <r>
      <rPr>
        <sz val="10"/>
        <rFont val="Noto Sans CJK SC"/>
        <family val="2"/>
      </rPr>
      <t xml:space="preserve">把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东门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识别成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冬门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L3 </t>
    </r>
    <r>
      <rPr>
        <sz val="10"/>
        <rFont val="Noto Sans CJK SC"/>
        <family val="2"/>
      </rPr>
      <t xml:space="preserve">直接吸附回合法地名，根本不给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编造地名的机会。两端都用闭集约束，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编造不存在的位置点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这类最要命的幻觉基本消失</t>
    </r>
  </si>
  <si>
    <t xml:space="preserve">AI-23</t>
  </si>
  <si>
    <r>
      <rPr>
        <sz val="10"/>
        <rFont val="Noto Sans CJK SC"/>
        <family val="2"/>
      </rPr>
      <t xml:space="preserve">将每次纠错的（原文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纠正后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匹配层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置信度）全部落库，形成持续增长的 </t>
    </r>
    <r>
      <rPr>
        <sz val="10"/>
        <rFont val="Arial"/>
        <family val="0"/>
        <charset val="1"/>
      </rPr>
      <t xml:space="preserve">ASR </t>
    </r>
    <r>
      <rPr>
        <sz val="10"/>
        <rFont val="Noto Sans CJK SC"/>
        <family val="2"/>
      </rPr>
      <t xml:space="preserve">错误语料，用于迭代词典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</si>
  <si>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将每次纠错的（原文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纠正后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匹配层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置信度）全部落库，形成持续增长的 </t>
    </r>
    <r>
      <rPr>
        <sz val="10"/>
        <rFont val="Arial"/>
        <family val="0"/>
        <charset val="1"/>
      </rPr>
      <t xml:space="preserve">ASR </t>
    </r>
    <r>
      <rPr>
        <sz val="10"/>
        <rFont val="Noto Sans CJK SC"/>
        <family val="2"/>
      </rPr>
      <t xml:space="preserve">错误语料，用于迭代词典。现场发现新错误加一行 </t>
    </r>
    <r>
      <rPr>
        <sz val="10"/>
        <rFont val="Arial"/>
        <family val="0"/>
        <charset val="1"/>
      </rPr>
      <t xml:space="preserve">YAML </t>
    </r>
    <r>
      <rPr>
        <sz val="10"/>
        <rFont val="Noto Sans CJK SC"/>
        <family val="2"/>
      </rPr>
      <t xml:space="preserve">热更新，无需改代码重启</t>
    </r>
  </si>
  <si>
    <r>
      <rPr>
        <sz val="10"/>
        <rFont val="Arial"/>
        <family val="0"/>
        <charset val="1"/>
      </rPr>
      <t xml:space="preserve">F9 / 14.4 LLM </t>
    </r>
    <r>
      <rPr>
        <sz val="10"/>
        <rFont val="Noto Sans CJK SC"/>
        <family val="2"/>
      </rPr>
      <t xml:space="preserve">输出后处理</t>
    </r>
  </si>
  <si>
    <t xml:space="preserve">AI-30</t>
  </si>
  <si>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已实现：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仅输出意图和对应参数，后处理将其整理成结构化 </t>
    </r>
    <r>
      <rPr>
        <sz val="10"/>
        <rFont val="Arial"/>
        <family val="0"/>
        <charset val="1"/>
      </rPr>
      <t xml:space="preserve">JSON </t>
    </r>
    <r>
      <rPr>
        <sz val="10"/>
        <rFont val="Noto Sans CJK SC"/>
        <family val="2"/>
      </rPr>
      <t xml:space="preserve">文本，随后交由任务处理与调度单元处理</t>
    </r>
  </si>
  <si>
    <t xml:space="preserve">AI-31</t>
  </si>
  <si>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GBNF </t>
    </r>
    <r>
      <rPr>
        <sz val="10"/>
        <rFont val="Noto Sans CJK SC"/>
        <family val="2"/>
      </rPr>
      <t xml:space="preserve">语法约束解码，将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解析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环节整个删除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</si>
  <si>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用 </t>
    </r>
    <r>
      <rPr>
        <sz val="10"/>
        <rFont val="Arial"/>
        <family val="0"/>
        <charset val="1"/>
      </rPr>
      <t xml:space="preserve">GBNF </t>
    </r>
    <r>
      <rPr>
        <sz val="10"/>
        <rFont val="Noto Sans CJK SC"/>
        <family val="2"/>
      </rPr>
      <t xml:space="preserve">语法约束解码，将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解析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环节整个删除。</t>
    </r>
    <r>
      <rPr>
        <sz val="10"/>
        <rFont val="Arial"/>
        <family val="0"/>
        <charset val="1"/>
      </rPr>
      <t xml:space="preserve">llama.cpp </t>
    </r>
    <r>
      <rPr>
        <sz val="10"/>
        <rFont val="Noto Sans CJK SC"/>
        <family val="2"/>
      </rPr>
      <t xml:space="preserve">原生支持传入 </t>
    </r>
    <r>
      <rPr>
        <sz val="10"/>
        <rFont val="Arial"/>
        <family val="0"/>
        <charset val="1"/>
      </rPr>
      <t xml:space="preserve">JSON Schema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GBNF </t>
    </r>
    <r>
      <rPr>
        <sz val="10"/>
        <rFont val="Noto Sans CJK SC"/>
        <family val="2"/>
      </rPr>
      <t xml:space="preserve">语法，在解码阶段约束，模型在物理上无法生成不符合语法的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：
</t>
    </r>
    <r>
      <rPr>
        <sz val="10"/>
        <rFont val="Arial"/>
        <family val="0"/>
        <charset val="1"/>
      </rPr>
      <t xml:space="preserve">V5: [</t>
    </r>
    <r>
      <rPr>
        <sz val="10"/>
        <rFont val="Noto Sans CJK SC"/>
        <family val="2"/>
      </rPr>
      <t xml:space="preserve">解析自由文本</t>
    </r>
    <r>
      <rPr>
        <sz val="10"/>
        <rFont val="Arial"/>
        <family val="0"/>
        <charset val="1"/>
      </rPr>
      <t xml:space="preserve">] → [</t>
    </r>
    <r>
      <rPr>
        <sz val="10"/>
        <rFont val="Noto Sans CJK SC"/>
        <family val="2"/>
      </rPr>
      <t xml:space="preserve">整理成</t>
    </r>
    <r>
      <rPr>
        <sz val="10"/>
        <rFont val="Arial"/>
        <family val="0"/>
        <charset val="1"/>
      </rPr>
      <t xml:space="preserve">JSON] → [</t>
    </r>
    <r>
      <rPr>
        <sz val="10"/>
        <rFont val="Noto Sans CJK SC"/>
        <family val="2"/>
      </rPr>
      <t xml:space="preserve">语义校验</t>
    </r>
    <r>
      <rPr>
        <sz val="10"/>
        <rFont val="Arial"/>
        <family val="0"/>
        <charset val="1"/>
      </rPr>
      <t xml:space="preserve">]
V6: ─────────────────────────→ [</t>
    </r>
    <r>
      <rPr>
        <sz val="10"/>
        <rFont val="Noto Sans CJK SC"/>
        <family val="2"/>
      </rPr>
      <t xml:space="preserve">语义校验</t>
    </r>
    <r>
      <rPr>
        <sz val="10"/>
        <rFont val="Arial"/>
        <family val="0"/>
        <charset val="1"/>
      </rPr>
      <t xml:space="preserve">]
"</t>
    </r>
    <r>
      <rPr>
        <sz val="10"/>
        <rFont val="Noto Sans CJK SC"/>
        <family val="2"/>
      </rPr>
      <t xml:space="preserve">解析失败</t>
    </r>
    <r>
      <rPr>
        <sz val="10"/>
        <rFont val="Arial"/>
        <family val="0"/>
        <charset val="1"/>
      </rPr>
      <t xml:space="preserve">""</t>
    </r>
    <r>
      <rPr>
        <sz val="10"/>
        <rFont val="Noto Sans CJK SC"/>
        <family val="2"/>
      </rPr>
      <t xml:space="preserve">格式不对</t>
    </r>
    <r>
      <rPr>
        <sz val="10"/>
        <rFont val="Arial"/>
        <family val="0"/>
        <charset val="1"/>
      </rPr>
      <t xml:space="preserve">""</t>
    </r>
    <r>
      <rPr>
        <sz val="10"/>
        <rFont val="Noto Sans CJK SC"/>
        <family val="2"/>
      </rPr>
      <t xml:space="preserve">少字段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这一整类错误直接消失</t>
    </r>
  </si>
  <si>
    <r>
      <rPr>
        <sz val="10"/>
        <rFont val="Arial"/>
        <family val="0"/>
        <charset val="1"/>
      </rPr>
      <t xml:space="preserve">F9 / 14.5 </t>
    </r>
    <r>
      <rPr>
        <sz val="10"/>
        <rFont val="Noto Sans CJK SC"/>
        <family val="2"/>
      </rPr>
      <t xml:space="preserve">两级路由与工具调用</t>
    </r>
  </si>
  <si>
    <t xml:space="preserve">AI-35</t>
  </si>
  <si>
    <r>
      <rPr>
        <sz val="10"/>
        <rFont val="Noto Sans CJK SC"/>
        <family val="2"/>
      </rPr>
      <t xml:space="preserve">采用两级路由，把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选工具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从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手中拿走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</si>
  <si>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采用两级路由，把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选工具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从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手中拿走：
语音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文本 →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意图分类：关键词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规则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极小模型，毫秒级</t>
    </r>
    <r>
      <rPr>
        <sz val="10"/>
        <rFont val="Arial"/>
        <family val="0"/>
        <charset val="1"/>
      </rPr>
      <t xml:space="preserve">] → [</t>
    </r>
    <r>
      <rPr>
        <sz val="10"/>
        <rFont val="Noto Sans CJK SC"/>
        <family val="2"/>
      </rPr>
      <t xml:space="preserve">工具集装配：仅装载该意图的 </t>
    </r>
    <r>
      <rPr>
        <sz val="10"/>
        <rFont val="Arial"/>
        <family val="0"/>
        <charset val="1"/>
      </rPr>
      <t xml:space="preserve">3–5 </t>
    </r>
    <r>
      <rPr>
        <sz val="10"/>
        <rFont val="Noto Sans CJK SC"/>
        <family val="2"/>
      </rPr>
      <t xml:space="preserve">个工具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相关枚举集</t>
    </r>
    <r>
      <rPr>
        <sz val="10"/>
        <rFont val="Arial"/>
        <family val="0"/>
        <charset val="1"/>
      </rPr>
      <t xml:space="preserve">] → [LLM </t>
    </r>
    <r>
      <rPr>
        <sz val="10"/>
        <rFont val="Noto Sans CJK SC"/>
        <family val="2"/>
      </rPr>
      <t xml:space="preserve">槽位填充 </t>
    </r>
    <r>
      <rPr>
        <sz val="10"/>
        <rFont val="Arial"/>
        <family val="0"/>
        <charset val="1"/>
      </rPr>
      <t xml:space="preserve">+ GBNF </t>
    </r>
    <r>
      <rPr>
        <sz val="10"/>
        <rFont val="Noto Sans CJK SC"/>
        <family val="2"/>
      </rPr>
      <t xml:space="preserve">约束</t>
    </r>
    <r>
      <rPr>
        <sz val="10"/>
        <rFont val="Arial"/>
        <family val="0"/>
        <charset val="1"/>
      </rPr>
      <t xml:space="preserve">] → [</t>
    </r>
    <r>
      <rPr>
        <sz val="10"/>
        <rFont val="Noto Sans CJK SC"/>
        <family val="2"/>
      </rPr>
      <t xml:space="preserve">确定性校验</t>
    </r>
    <r>
      <rPr>
        <sz val="10"/>
        <rFont val="Arial"/>
        <family val="0"/>
        <charset val="1"/>
      </rPr>
      <t xml:space="preserve">] → [</t>
    </r>
    <r>
      <rPr>
        <sz val="10"/>
        <rFont val="Noto Sans CJK SC"/>
        <family val="2"/>
      </rPr>
      <t xml:space="preserve">执行引擎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</si>
  <si>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✅ 两级路由（</t>
    </r>
    <r>
      <rPr>
        <sz val="10"/>
        <rFont val="Arial"/>
        <family val="0"/>
        <charset val="1"/>
      </rPr>
      <t xml:space="preserve">L2 </t>
    </r>
    <r>
      <rPr>
        <sz val="10"/>
        <rFont val="Noto Sans CJK SC"/>
        <family val="2"/>
      </rPr>
      <t xml:space="preserve">已扩到运动类，</t>
    </r>
    <r>
      <rPr>
        <sz val="10"/>
        <rFont val="Arial"/>
        <family val="0"/>
        <charset val="1"/>
      </rPr>
      <t xml:space="preserve">10-25</t>
    </r>
    <r>
      <rPr>
        <sz val="10"/>
        <rFont val="Noto Sans CJK SC"/>
        <family val="2"/>
      </rPr>
      <t xml:space="preserve">）</t>
    </r>
  </si>
  <si>
    <t xml:space="preserve">AI-36</t>
  </si>
  <si>
    <r>
      <rPr>
        <sz val="10"/>
        <rFont val="Arial"/>
        <family val="0"/>
        <charset val="1"/>
      </rPr>
      <t xml:space="preserve">Qwen2.5-3B </t>
    </r>
    <r>
      <rPr>
        <sz val="10"/>
        <rFont val="Noto Sans CJK SC"/>
        <family val="2"/>
      </rPr>
      <t xml:space="preserve">的工具调用准确率在工具数超过约 </t>
    </r>
    <r>
      <rPr>
        <sz val="10"/>
        <rFont val="Arial"/>
        <family val="0"/>
        <charset val="1"/>
      </rPr>
      <t xml:space="preserve">5–8 </t>
    </r>
    <r>
      <rPr>
        <sz val="10"/>
        <rFont val="Noto Sans CJK SC"/>
        <family val="2"/>
      </rPr>
      <t xml:space="preserve">个后显著劣化（选错工具、参数乱填）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</si>
  <si>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Qwen2.5-3B </t>
    </r>
    <r>
      <rPr>
        <sz val="10"/>
        <rFont val="Noto Sans CJK SC"/>
        <family val="2"/>
      </rPr>
      <t xml:space="preserve">的工具调用准确率在工具数超过约 </t>
    </r>
    <r>
      <rPr>
        <sz val="10"/>
        <rFont val="Arial"/>
        <family val="0"/>
        <charset val="1"/>
      </rPr>
      <t xml:space="preserve">5–8 </t>
    </r>
    <r>
      <rPr>
        <sz val="10"/>
        <rFont val="Noto Sans CJK SC"/>
        <family val="2"/>
      </rPr>
      <t xml:space="preserve">个后显著劣化（选错工具、参数乱填）。因此按模式动态加载工具不仅省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，更是为保住工具调用准确率</t>
    </r>
  </si>
  <si>
    <t xml:space="preserve">AI-37</t>
  </si>
  <si>
    <r>
      <rPr>
        <sz val="10"/>
        <rFont val="Noto Sans CJK SC"/>
        <family val="2"/>
      </rPr>
      <t xml:space="preserve">引入 </t>
    </r>
    <r>
      <rPr>
        <sz val="10"/>
        <rFont val="Arial"/>
        <family val="0"/>
        <charset val="1"/>
      </rPr>
      <t xml:space="preserve">MCP </t>
    </r>
    <r>
      <rPr>
        <sz val="10"/>
        <rFont val="Noto Sans CJK SC"/>
        <family val="2"/>
      </rPr>
      <t xml:space="preserve">协议，其工具动态发现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加载机制天然支持上述需求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</si>
  <si>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引入 </t>
    </r>
    <r>
      <rPr>
        <sz val="10"/>
        <rFont val="Arial"/>
        <family val="0"/>
        <charset val="1"/>
      </rPr>
      <t xml:space="preserve">MCP </t>
    </r>
    <r>
      <rPr>
        <sz val="10"/>
        <rFont val="Noto Sans CJK SC"/>
        <family val="2"/>
      </rPr>
      <t xml:space="preserve">协议，其工具动态发现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加载机制天然支持上述需求</t>
    </r>
  </si>
  <si>
    <t xml:space="preserve">AI-38</t>
  </si>
  <si>
    <r>
      <rPr>
        <sz val="10"/>
        <rFont val="Arial"/>
        <family val="0"/>
        <charset val="1"/>
      </rPr>
      <t xml:space="preserve">MCP </t>
    </r>
    <r>
      <rPr>
        <sz val="10"/>
        <rFont val="Noto Sans CJK SC"/>
        <family val="2"/>
      </rPr>
      <t xml:space="preserve">适用于 </t>
    </r>
    <r>
      <rPr>
        <sz val="10"/>
        <rFont val="Arial"/>
        <family val="0"/>
        <charset val="1"/>
      </rPr>
      <t xml:space="preserve">Agent → </t>
    </r>
    <r>
      <rPr>
        <sz val="10"/>
        <rFont val="Noto Sans CJK SC"/>
        <family val="2"/>
      </rPr>
      <t xml:space="preserve">能力调用层（秒级），绝不得进入控制回路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</si>
  <si>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MCP </t>
    </r>
    <r>
      <rPr>
        <sz val="10"/>
        <rFont val="Noto Sans CJK SC"/>
        <family val="2"/>
      </rPr>
      <t xml:space="preserve">适用于 </t>
    </r>
    <r>
      <rPr>
        <sz val="10"/>
        <rFont val="Arial"/>
        <family val="0"/>
        <charset val="1"/>
      </rPr>
      <t xml:space="preserve">Agent → </t>
    </r>
    <r>
      <rPr>
        <sz val="10"/>
        <rFont val="Noto Sans CJK SC"/>
        <family val="2"/>
      </rPr>
      <t xml:space="preserve">能力调用层（秒级），绝不得进入控制回路。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链路与 </t>
    </r>
    <r>
      <rPr>
        <sz val="10"/>
        <rFont val="Arial"/>
        <family val="0"/>
        <charset val="1"/>
      </rPr>
      <t xml:space="preserve">MCP </t>
    </r>
    <r>
      <rPr>
        <sz val="10"/>
        <rFont val="Noto Sans CJK SC"/>
        <family val="2"/>
      </rPr>
      <t xml:space="preserve">无任何关系</t>
    </r>
  </si>
  <si>
    <r>
      <rPr>
        <sz val="10"/>
        <rFont val="Arial"/>
        <family val="0"/>
        <charset val="1"/>
      </rPr>
      <t xml:space="preserve">F9 / 14.6 Prompt </t>
    </r>
    <r>
      <rPr>
        <sz val="10"/>
        <rFont val="Noto Sans CJK SC"/>
        <family val="2"/>
      </rPr>
      <t xml:space="preserve">分层</t>
    </r>
  </si>
  <si>
    <t xml:space="preserve">AI-40</t>
  </si>
  <si>
    <r>
      <rPr>
        <sz val="10"/>
        <rFont val="Arial"/>
        <family val="0"/>
        <charset val="1"/>
      </rPr>
      <t xml:space="preserve">Prompt </t>
    </r>
    <r>
      <rPr>
        <sz val="10"/>
        <rFont val="Noto Sans CJK SC"/>
        <family val="2"/>
      </rPr>
      <t xml:space="preserve">必须分层、按需动态装配，替代 </t>
    </r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单一巨型 </t>
    </r>
    <r>
      <rPr>
        <sz val="10"/>
        <rFont val="Arial"/>
        <family val="0"/>
        <charset val="1"/>
      </rPr>
      <t xml:space="preserve">prompt </t>
    </r>
    <r>
      <rPr>
        <sz val="10"/>
        <rFont val="Noto Sans CJK SC"/>
        <family val="2"/>
      </rPr>
      <t xml:space="preserve">一次性导入</t>
    </r>
    <r>
      <rPr>
        <sz val="10"/>
        <rFont val="Arial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</si>
  <si>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Prompt </t>
    </r>
    <r>
      <rPr>
        <sz val="10"/>
        <rFont val="Noto Sans CJK SC"/>
        <family val="2"/>
      </rPr>
      <t xml:space="preserve">必须分层、按需动态装配，替代 </t>
    </r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单一巨型 </t>
    </r>
    <r>
      <rPr>
        <sz val="10"/>
        <rFont val="Arial"/>
        <family val="0"/>
        <charset val="1"/>
      </rPr>
      <t xml:space="preserve">prompt </t>
    </r>
    <r>
      <rPr>
        <sz val="10"/>
        <rFont val="Noto Sans CJK SC"/>
        <family val="2"/>
      </rPr>
      <t xml:space="preserve">一次性导入</t>
    </r>
    <r>
      <rPr>
        <sz val="10"/>
        <rFont val="Arial"/>
        <family val="0"/>
        <charset val="1"/>
      </rPr>
      <t xml:space="preserve">"</t>
    </r>
  </si>
  <si>
    <t xml:space="preserve">AI-40a</t>
  </si>
  <si>
    <r>
      <rPr>
        <sz val="10"/>
        <rFont val="Arial"/>
        <family val="0"/>
        <charset val="1"/>
      </rPr>
      <t xml:space="preserve">context </t>
    </r>
    <r>
      <rPr>
        <sz val="10"/>
        <rFont val="Noto Sans CJK SC"/>
        <family val="2"/>
      </rPr>
      <t xml:space="preserve">层是必需的，不可省 —— 相对时间表达（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两个小时后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）需要当前时刻作基准</t>
    </r>
  </si>
  <si>
    <r>
      <rPr>
        <sz val="10"/>
        <rFont val="Arial"/>
        <family val="0"/>
        <charset val="1"/>
      </rPr>
      <t xml:space="preserve">context </t>
    </r>
    <r>
      <rPr>
        <sz val="10"/>
        <rFont val="Noto Sans CJK SC"/>
        <family val="2"/>
      </rPr>
      <t xml:space="preserve">层是必需的，不可省 —— 相对时间表达（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两个小时后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）需要当前时刻作基准；电量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位置影响指令可行性判断</t>
    </r>
  </si>
  <si>
    <t xml:space="preserve">AI-40b</t>
  </si>
  <si>
    <r>
      <rPr>
        <sz val="10"/>
        <rFont val="Noto Sans CJK SC"/>
        <family val="2"/>
      </rPr>
      <t xml:space="preserve">枚举闭集放 </t>
    </r>
    <r>
      <rPr>
        <sz val="10"/>
        <rFont val="Arial"/>
        <family val="0"/>
        <charset val="1"/>
      </rPr>
      <t xml:space="preserve">GBNF </t>
    </r>
    <r>
      <rPr>
        <sz val="10"/>
        <rFont val="Noto Sans CJK SC"/>
        <family val="2"/>
      </rPr>
      <t xml:space="preserve">语法而非 </t>
    </r>
    <r>
      <rPr>
        <sz val="10"/>
        <rFont val="Arial"/>
        <family val="0"/>
        <charset val="1"/>
      </rPr>
      <t xml:space="preserve">prompt —— llama.cpp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grammar </t>
    </r>
    <r>
      <rPr>
        <sz val="10"/>
        <rFont val="Noto Sans CJK SC"/>
        <family val="2"/>
      </rPr>
      <t xml:space="preserve">在解码期约束，不进 </t>
    </r>
    <r>
      <rPr>
        <sz val="10"/>
        <rFont val="Arial"/>
        <family val="0"/>
        <charset val="1"/>
      </rPr>
      <t xml:space="preserve">cont…</t>
    </r>
  </si>
  <si>
    <r>
      <rPr>
        <sz val="10"/>
        <rFont val="Noto Sans CJK SC"/>
        <family val="2"/>
      </rPr>
      <t xml:space="preserve">枚举闭集放 </t>
    </r>
    <r>
      <rPr>
        <sz val="10"/>
        <rFont val="Arial"/>
        <family val="0"/>
        <charset val="1"/>
      </rPr>
      <t xml:space="preserve">GBNF </t>
    </r>
    <r>
      <rPr>
        <sz val="10"/>
        <rFont val="Noto Sans CJK SC"/>
        <family val="2"/>
      </rPr>
      <t xml:space="preserve">语法而非 </t>
    </r>
    <r>
      <rPr>
        <sz val="10"/>
        <rFont val="Arial"/>
        <family val="0"/>
        <charset val="1"/>
      </rPr>
      <t xml:space="preserve">prompt —— llama.cpp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grammar </t>
    </r>
    <r>
      <rPr>
        <sz val="10"/>
        <rFont val="Noto Sans CJK SC"/>
        <family val="2"/>
      </rPr>
      <t xml:space="preserve">在解码期约束，不进 </t>
    </r>
    <r>
      <rPr>
        <sz val="10"/>
        <rFont val="Arial"/>
        <family val="0"/>
        <charset val="1"/>
      </rPr>
      <t xml:space="preserve">context</t>
    </r>
    <r>
      <rPr>
        <sz val="10"/>
        <rFont val="Noto Sans CJK SC"/>
        <family val="2"/>
      </rPr>
      <t xml:space="preserve">、不占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200 </t>
    </r>
    <r>
      <rPr>
        <sz val="10"/>
        <rFont val="Noto Sans CJK SC"/>
        <family val="2"/>
      </rPr>
      <t xml:space="preserve">个位置点写进 </t>
    </r>
    <r>
      <rPr>
        <sz val="10"/>
        <rFont val="Arial"/>
        <family val="0"/>
        <charset val="1"/>
      </rPr>
      <t xml:space="preserve">prompt </t>
    </r>
    <r>
      <rPr>
        <sz val="10"/>
        <rFont val="Noto Sans CJK SC"/>
        <family val="2"/>
      </rPr>
      <t xml:space="preserve">需 </t>
    </r>
    <r>
      <rPr>
        <sz val="10"/>
        <rFont val="Arial"/>
        <family val="0"/>
        <charset val="1"/>
      </rPr>
      <t xml:space="preserve">600+ tok</t>
    </r>
    <r>
      <rPr>
        <sz val="10"/>
        <rFont val="Noto Sans CJK SC"/>
        <family val="2"/>
      </rPr>
      <t xml:space="preserve">，写进语法是 </t>
    </r>
    <r>
      <rPr>
        <sz val="10"/>
        <rFont val="Arial"/>
        <family val="0"/>
        <charset val="1"/>
      </rPr>
      <t xml:space="preserve">0</t>
    </r>
  </si>
  <si>
    <t xml:space="preserve">AI-40c</t>
  </si>
  <si>
    <r>
      <rPr>
        <sz val="10"/>
        <rFont val="Arial"/>
        <family val="0"/>
        <charset val="1"/>
      </rPr>
      <t xml:space="preserve">few-shot </t>
    </r>
    <r>
      <rPr>
        <sz val="10"/>
        <rFont val="Noto Sans CJK SC"/>
        <family val="2"/>
      </rPr>
      <t xml:space="preserve">需 </t>
    </r>
    <r>
      <rPr>
        <sz val="10"/>
        <rFont val="Arial"/>
        <family val="0"/>
        <charset val="1"/>
      </rPr>
      <t xml:space="preserve">3–5 </t>
    </r>
    <r>
      <rPr>
        <sz val="10"/>
        <rFont val="Noto Sans CJK SC"/>
        <family val="2"/>
      </rPr>
      <t xml:space="preserve">个且必须含拒绝示例 —— </t>
    </r>
    <r>
      <rPr>
        <sz val="10"/>
        <rFont val="Arial"/>
        <family val="0"/>
        <charset val="1"/>
      </rPr>
      <t xml:space="preserve">3B </t>
    </r>
    <r>
      <rPr>
        <sz val="10"/>
        <rFont val="Noto Sans CJK SC"/>
        <family val="2"/>
      </rPr>
      <t xml:space="preserve">模型对单示例泛化不稳</t>
    </r>
  </si>
  <si>
    <r>
      <rPr>
        <sz val="10"/>
        <rFont val="Arial"/>
        <family val="0"/>
        <charset val="1"/>
      </rPr>
      <t xml:space="preserve">few-shot </t>
    </r>
    <r>
      <rPr>
        <sz val="10"/>
        <rFont val="Noto Sans CJK SC"/>
        <family val="2"/>
      </rPr>
      <t xml:space="preserve">需 </t>
    </r>
    <r>
      <rPr>
        <sz val="10"/>
        <rFont val="Arial"/>
        <family val="0"/>
        <charset val="1"/>
      </rPr>
      <t xml:space="preserve">3–5 </t>
    </r>
    <r>
      <rPr>
        <sz val="10"/>
        <rFont val="Noto Sans CJK SC"/>
        <family val="2"/>
      </rPr>
      <t xml:space="preserve">个且必须含拒绝示例 —— </t>
    </r>
    <r>
      <rPr>
        <sz val="10"/>
        <rFont val="Arial"/>
        <family val="0"/>
        <charset val="1"/>
      </rPr>
      <t xml:space="preserve">3B </t>
    </r>
    <r>
      <rPr>
        <sz val="10"/>
        <rFont val="Noto Sans CJK SC"/>
        <family val="2"/>
      </rPr>
      <t xml:space="preserve">模型对单示例泛化不稳；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不知道就说不知道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比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做对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更重要</t>
    </r>
  </si>
  <si>
    <t xml:space="preserve">AI-40d</t>
  </si>
  <si>
    <r>
      <rPr>
        <sz val="10"/>
        <rFont val="Noto Sans CJK SC"/>
        <family val="2"/>
      </rPr>
      <t xml:space="preserve">时间表达输出相对偏移秒数而非绝对时间戳 —— </t>
    </r>
    <r>
      <rPr>
        <sz val="10"/>
        <rFont val="Arial"/>
        <family val="0"/>
        <charset val="1"/>
      </rPr>
      <t xml:space="preserve">3B </t>
    </r>
    <r>
      <rPr>
        <sz val="10"/>
        <rFont val="Noto Sans CJK SC"/>
        <family val="2"/>
      </rPr>
      <t xml:space="preserve">做时间戳算术不可靠，绝对时间由确定性代码换算</t>
    </r>
  </si>
  <si>
    <t xml:space="preserve">AI-40e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</si>
  <si>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一次载入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只省 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不省 </t>
    </r>
    <r>
      <rPr>
        <sz val="10"/>
        <rFont val="Arial"/>
        <family val="0"/>
        <charset val="1"/>
      </rPr>
      <t xml:space="preserve">decode —— system prompt </t>
    </r>
    <r>
      <rPr>
        <sz val="10"/>
        <rFont val="Noto Sans CJK SC"/>
        <family val="2"/>
      </rPr>
      <t xml:space="preserve">仍在 </t>
    </r>
    <r>
      <rPr>
        <sz val="10"/>
        <rFont val="Arial"/>
        <family val="0"/>
        <charset val="1"/>
      </rPr>
      <t xml:space="preserve">context </t>
    </r>
    <r>
      <rPr>
        <sz val="10"/>
        <rFont val="Noto Sans CJK SC"/>
        <family val="2"/>
      </rPr>
      <t xml:space="preserve">内，每生成…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</si>
  <si>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一次载入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只省 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不省 </t>
    </r>
    <r>
      <rPr>
        <sz val="10"/>
        <rFont val="Arial"/>
        <family val="0"/>
        <charset val="1"/>
      </rPr>
      <t xml:space="preserve">decode —— system prompt </t>
    </r>
    <r>
      <rPr>
        <sz val="10"/>
        <rFont val="Noto Sans CJK SC"/>
        <family val="2"/>
      </rPr>
      <t xml:space="preserve">仍在 </t>
    </r>
    <r>
      <rPr>
        <sz val="10"/>
        <rFont val="Arial"/>
        <family val="0"/>
        <charset val="1"/>
      </rPr>
      <t xml:space="preserve">context </t>
    </r>
    <r>
      <rPr>
        <sz val="10"/>
        <rFont val="Noto Sans CJK SC"/>
        <family val="2"/>
      </rPr>
      <t xml:space="preserve">内，每生成一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都要 </t>
    </r>
    <r>
      <rPr>
        <sz val="10"/>
        <rFont val="Arial"/>
        <family val="0"/>
        <charset val="1"/>
      </rPr>
      <t xml:space="preserve">attend</t>
    </r>
    <r>
      <rPr>
        <sz val="10"/>
        <rFont val="Noto Sans CJK SC"/>
        <family val="2"/>
      </rPr>
      <t xml:space="preserve">。短仍是硬要求</t>
    </r>
  </si>
  <si>
    <t xml:space="preserve">AI-40f</t>
  </si>
  <si>
    <r>
      <rPr>
        <sz val="10"/>
        <rFont val="Arial"/>
        <family val="0"/>
        <charset val="1"/>
      </rPr>
      <t xml:space="preserve">history </t>
    </r>
    <r>
      <rPr>
        <sz val="10"/>
        <rFont val="Noto Sans CJK SC"/>
        <family val="2"/>
      </rPr>
      <t xml:space="preserve">仅在澄清场景启用，不做通用多轮 —— </t>
    </r>
    <r>
      <rPr>
        <sz val="10"/>
        <rFont val="Arial"/>
        <family val="0"/>
        <charset val="1"/>
      </rPr>
      <t xml:space="preserve">3B </t>
    </r>
    <r>
      <rPr>
        <sz val="10"/>
        <rFont val="Noto Sans CJK SC"/>
        <family val="2"/>
      </rPr>
      <t xml:space="preserve">长上下文能力有限，且 </t>
    </r>
    <r>
      <rPr>
        <sz val="10"/>
        <rFont val="Arial"/>
        <family val="0"/>
        <charset val="1"/>
      </rPr>
      <t xml:space="preserve">history </t>
    </r>
    <r>
      <rPr>
        <sz val="10"/>
        <rFont val="Noto Sans CJK SC"/>
        <family val="2"/>
      </rPr>
      <t xml:space="preserve">是 </t>
    </r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成本…</t>
    </r>
  </si>
  <si>
    <r>
      <rPr>
        <sz val="10"/>
        <rFont val="Arial"/>
        <family val="0"/>
        <charset val="1"/>
      </rPr>
      <t xml:space="preserve">history </t>
    </r>
    <r>
      <rPr>
        <sz val="10"/>
        <rFont val="Noto Sans CJK SC"/>
        <family val="2"/>
      </rPr>
      <t xml:space="preserve">仅在澄清场景启用，不做通用多轮 —— </t>
    </r>
    <r>
      <rPr>
        <sz val="10"/>
        <rFont val="Arial"/>
        <family val="0"/>
        <charset val="1"/>
      </rPr>
      <t xml:space="preserve">3B </t>
    </r>
    <r>
      <rPr>
        <sz val="10"/>
        <rFont val="Noto Sans CJK SC"/>
        <family val="2"/>
      </rPr>
      <t xml:space="preserve">长上下文能力有限，且 </t>
    </r>
    <r>
      <rPr>
        <sz val="10"/>
        <rFont val="Arial"/>
        <family val="0"/>
        <charset val="1"/>
      </rPr>
      <t xml:space="preserve">history </t>
    </r>
    <r>
      <rPr>
        <sz val="10"/>
        <rFont val="Noto Sans CJK SC"/>
        <family val="2"/>
      </rPr>
      <t xml:space="preserve">是 </t>
    </r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成本的主要增长源</t>
    </r>
  </si>
  <si>
    <t xml:space="preserve">AI-40g</t>
  </si>
  <si>
    <r>
      <rPr>
        <sz val="10"/>
        <rFont val="Noto Sans CJK SC"/>
        <family val="2"/>
      </rPr>
      <t xml:space="preserve">装配后统计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数，超预算必须按 </t>
    </r>
    <r>
      <rPr>
        <sz val="10"/>
        <rFont val="Arial"/>
        <family val="0"/>
        <charset val="1"/>
      </rPr>
      <t xml:space="preserve">history → context </t>
    </r>
    <r>
      <rPr>
        <sz val="10"/>
        <rFont val="Noto Sans CJK SC"/>
        <family val="2"/>
      </rPr>
      <t xml:space="preserve">顺序裁剪并告警，不得放行</t>
    </r>
  </si>
  <si>
    <r>
      <rPr>
        <sz val="10"/>
        <rFont val="Arial"/>
        <family val="0"/>
        <charset val="1"/>
      </rPr>
      <t xml:space="preserve">F9 / 14.7 </t>
    </r>
    <r>
      <rPr>
        <sz val="10"/>
        <rFont val="Noto Sans CJK SC"/>
        <family val="2"/>
      </rPr>
      <t xml:space="preserve">幻觉抑制</t>
    </r>
  </si>
  <si>
    <t xml:space="preserve">AI-41</t>
  </si>
  <si>
    <t xml:space="preserve">枚举闭集约束 —— 位置点名称、动作类型、模式名均为有限集合，将当前可用集合动态注入语法，使模型物理上无法生成不存在的地…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</si>
  <si>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枚举闭集约束 —— 位置点名称、动作类型、模式名均为有限集合，将当前可用集合动态注入语法，使模型物理上无法生成不存在的地名 很高</t>
    </r>
  </si>
  <si>
    <t xml:space="preserve">AI-42</t>
  </si>
  <si>
    <r>
      <rPr>
        <sz val="10"/>
        <rFont val="Arial"/>
        <family val="0"/>
        <charset val="1"/>
      </rPr>
      <t xml:space="preserve">GBNF </t>
    </r>
    <r>
      <rPr>
        <sz val="10"/>
        <rFont val="Noto Sans CJK SC"/>
        <family val="2"/>
      </rPr>
      <t xml:space="preserve">语法约束解码（同 </t>
    </r>
    <r>
      <rPr>
        <sz val="10"/>
        <rFont val="Arial"/>
        <family val="0"/>
        <charset val="1"/>
      </rPr>
      <t xml:space="preserve">AI-31</t>
    </r>
    <r>
      <rPr>
        <sz val="10"/>
        <rFont val="Noto Sans CJK SC"/>
        <family val="2"/>
      </rPr>
      <t xml:space="preserve">） 最高，改动最小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</si>
  <si>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GBNF </t>
    </r>
    <r>
      <rPr>
        <sz val="10"/>
        <rFont val="Noto Sans CJK SC"/>
        <family val="2"/>
      </rPr>
      <t xml:space="preserve">语法约束解码（同 </t>
    </r>
    <r>
      <rPr>
        <sz val="10"/>
        <rFont val="Arial"/>
        <family val="0"/>
        <charset val="1"/>
      </rPr>
      <t xml:space="preserve">AI-31</t>
    </r>
    <r>
      <rPr>
        <sz val="10"/>
        <rFont val="Noto Sans CJK SC"/>
        <family val="2"/>
      </rPr>
      <t xml:space="preserve">） 最高，改动最小</t>
    </r>
  </si>
  <si>
    <t xml:space="preserve">AI-43</t>
  </si>
  <si>
    <r>
      <rPr>
        <sz val="10"/>
        <rFont val="Noto Sans CJK SC"/>
        <family val="2"/>
      </rPr>
      <t xml:space="preserve">输出后置校验 —— 每条指令经确定性 </t>
    </r>
    <r>
      <rPr>
        <sz val="10"/>
        <rFont val="Arial"/>
        <family val="0"/>
        <charset val="1"/>
      </rPr>
      <t xml:space="preserve">validator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</si>
  <si>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输出后置校验 —— 每条指令经确定性 </t>
    </r>
    <r>
      <rPr>
        <sz val="10"/>
        <rFont val="Arial"/>
        <family val="0"/>
        <charset val="1"/>
      </rPr>
      <t xml:space="preserve">validator</t>
    </r>
    <r>
      <rPr>
        <sz val="10"/>
        <rFont val="Noto Sans CJK SC"/>
        <family val="2"/>
      </rPr>
      <t xml:space="preserve">：位置点存在？在围栏内？参数在范围内？电量足够？不通过则拒绝并附原因重试 高，安全底线</t>
    </r>
  </si>
  <si>
    <t xml:space="preserve">AI-44</t>
  </si>
  <si>
    <r>
      <rPr>
        <sz val="10"/>
        <rFont val="Arial"/>
        <family val="0"/>
        <charset val="1"/>
      </rPr>
      <t xml:space="preserve">few-shot </t>
    </r>
    <r>
      <rPr>
        <sz val="10"/>
        <rFont val="Noto Sans CJK SC"/>
        <family val="2"/>
      </rPr>
      <t xml:space="preserve">示例 —— </t>
    </r>
    <r>
      <rPr>
        <sz val="10"/>
        <rFont val="Arial"/>
        <family val="0"/>
        <charset val="1"/>
      </rPr>
      <t xml:space="preserve">3B </t>
    </r>
    <r>
      <rPr>
        <sz val="10"/>
        <rFont val="Noto Sans CJK SC"/>
        <family val="2"/>
      </rPr>
      <t xml:space="preserve">对示例的响应远好于抽象规则描述，用 </t>
    </r>
    <r>
      <rPr>
        <sz val="10"/>
        <rFont val="Arial"/>
        <family val="0"/>
        <charset val="1"/>
      </rPr>
      <t xml:space="preserve">3–5 </t>
    </r>
    <r>
      <rPr>
        <sz val="10"/>
        <rFont val="Noto Sans CJK SC"/>
        <family val="2"/>
      </rPr>
      <t xml:space="preserve">个例子替换大段文字说明，顺带缩短 </t>
    </r>
    <r>
      <rPr>
        <sz val="10"/>
        <rFont val="Arial"/>
        <family val="0"/>
        <charset val="1"/>
      </rPr>
      <t xml:space="preserve">pro…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</si>
  <si>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few-shot </t>
    </r>
    <r>
      <rPr>
        <sz val="10"/>
        <rFont val="Noto Sans CJK SC"/>
        <family val="2"/>
      </rPr>
      <t xml:space="preserve">示例 —— </t>
    </r>
    <r>
      <rPr>
        <sz val="10"/>
        <rFont val="Arial"/>
        <family val="0"/>
        <charset val="1"/>
      </rPr>
      <t xml:space="preserve">3B </t>
    </r>
    <r>
      <rPr>
        <sz val="10"/>
        <rFont val="Noto Sans CJK SC"/>
        <family val="2"/>
      </rPr>
      <t xml:space="preserve">对示例的响应远好于抽象规则描述，用 </t>
    </r>
    <r>
      <rPr>
        <sz val="10"/>
        <rFont val="Arial"/>
        <family val="0"/>
        <charset val="1"/>
      </rPr>
      <t xml:space="preserve">3–5 </t>
    </r>
    <r>
      <rPr>
        <sz val="10"/>
        <rFont val="Noto Sans CJK SC"/>
        <family val="2"/>
      </rPr>
      <t xml:space="preserve">个例子替换大段文字说明，顺带缩短 </t>
    </r>
    <r>
      <rPr>
        <sz val="10"/>
        <rFont val="Arial"/>
        <family val="0"/>
        <charset val="1"/>
      </rPr>
      <t xml:space="preserve">prompt </t>
    </r>
    <r>
      <rPr>
        <sz val="10"/>
        <rFont val="Noto Sans CJK SC"/>
        <family val="2"/>
      </rPr>
      <t xml:space="preserve">中</t>
    </r>
  </si>
  <si>
    <r>
      <rPr>
        <sz val="10"/>
        <rFont val="Arial"/>
        <family val="0"/>
        <charset val="1"/>
      </rPr>
      <t xml:space="preserve">F9 / 14.8 AI </t>
    </r>
    <r>
      <rPr>
        <sz val="10"/>
        <rFont val="Noto Sans CJK SC"/>
        <family val="2"/>
      </rPr>
      <t xml:space="preserve">服务网关</t>
    </r>
  </si>
  <si>
    <t xml:space="preserve">AI-50</t>
  </si>
  <si>
    <r>
      <rPr>
        <sz val="10"/>
        <rFont val="Noto Sans CJK SC"/>
        <family val="2"/>
      </rPr>
      <t xml:space="preserve">建立 </t>
    </r>
    <r>
      <rPr>
        <sz val="10"/>
        <rFont val="Arial"/>
        <family val="0"/>
        <charset val="1"/>
      </rPr>
      <t xml:space="preserve">AIServiceGateway</t>
    </r>
    <r>
      <rPr>
        <sz val="10"/>
        <rFont val="Noto Sans CJK SC"/>
        <family val="2"/>
      </rPr>
      <t xml:space="preserve">，所有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调用必须经过它，职责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</si>
  <si>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建立 </t>
    </r>
    <r>
      <rPr>
        <sz val="10"/>
        <rFont val="Arial"/>
        <family val="0"/>
        <charset val="1"/>
      </rPr>
      <t xml:space="preserve">AIServiceGateway</t>
    </r>
    <r>
      <rPr>
        <sz val="10"/>
        <rFont val="Noto Sans CJK SC"/>
        <family val="2"/>
      </rPr>
      <t xml:space="preserve">，所有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调用必须经过它，职责：</t>
    </r>
  </si>
  <si>
    <t xml:space="preserve">AI-51</t>
  </si>
  <si>
    <r>
      <rPr>
        <sz val="10"/>
        <rFont val="Noto Sans CJK SC"/>
        <family val="2"/>
      </rPr>
      <t xml:space="preserve">没有网关，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准入调度器就无法实现 —— 这是其必须存在的硬理由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</si>
  <si>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没有网关，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准入调度器就无法实现 —— 这是其必须存在的硬理由</t>
    </r>
  </si>
  <si>
    <r>
      <rPr>
        <sz val="10"/>
        <rFont val="Arial"/>
        <family val="0"/>
        <charset val="1"/>
      </rPr>
      <t xml:space="preserve">F9 / 14.9 </t>
    </r>
    <r>
      <rPr>
        <sz val="10"/>
        <rFont val="Noto Sans CJK SC"/>
        <family val="2"/>
      </rPr>
      <t xml:space="preserve">语音指令旁路</t>
    </r>
  </si>
  <si>
    <t xml:space="preserve">AI-60</t>
  </si>
  <si>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已实现：急停、趴下、站立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站起来 走 </t>
    </r>
    <r>
      <rPr>
        <sz val="10"/>
        <rFont val="Arial"/>
        <family val="0"/>
        <charset val="1"/>
      </rPr>
      <t xml:space="preserve">ESTOP </t>
    </r>
    <r>
      <rPr>
        <sz val="10"/>
        <rFont val="Noto Sans CJK SC"/>
        <family val="2"/>
      </rPr>
      <t xml:space="preserve">路径，不进入 </t>
    </r>
    <r>
      <rPr>
        <sz val="10"/>
        <rFont val="Arial"/>
        <family val="0"/>
        <charset val="1"/>
      </rPr>
      <t xml:space="preserve">LLM</t>
    </r>
    <r>
      <rPr>
        <sz val="10"/>
        <rFont val="Noto Sans CJK SC"/>
        <family val="2"/>
      </rPr>
      <t xml:space="preserve">，直接旁路</t>
    </r>
  </si>
  <si>
    <r>
      <rPr>
        <sz val="10"/>
        <rFont val="Arial"/>
        <family val="0"/>
        <charset val="1"/>
      </rPr>
      <t xml:space="preserve">✅/🟡 </t>
    </r>
    <r>
      <rPr>
        <sz val="10"/>
        <rFont val="Noto Sans CJK SC"/>
        <family val="2"/>
      </rPr>
      <t xml:space="preserve">规范式说法 </t>
    </r>
    <r>
      <rPr>
        <sz val="10"/>
        <rFont val="Arial"/>
        <family val="0"/>
        <charset val="1"/>
      </rPr>
      <t xml:space="preserve">fastpath </t>
    </r>
    <r>
      <rPr>
        <sz val="10"/>
        <rFont val="Noto Sans CJK SC"/>
        <family val="2"/>
      </rPr>
      <t xml:space="preserve">直出在用</t>
    </r>
  </si>
  <si>
    <t xml:space="preserve">AI-60b</t>
  </si>
  <si>
    <r>
      <rPr>
        <sz val="10"/>
        <rFont val="Noto Sans CJK SC"/>
        <family val="2"/>
      </rPr>
      <t xml:space="preserve">相对位移类语音指令（前进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米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后退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米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左移右移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左转右转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度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转身）需经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做槽位填…</t>
    </r>
  </si>
  <si>
    <r>
      <rPr>
        <sz val="10"/>
        <rFont val="Noto Sans CJK SC"/>
        <family val="2"/>
      </rPr>
      <t xml:space="preserve">相对位移类语音指令（前进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米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后退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米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左移右移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左转右转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度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转身）需经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做槽位填充（提取方向与数值），不走旁路。执行见 </t>
    </r>
    <r>
      <rPr>
        <sz val="10"/>
        <rFont val="Arial"/>
        <family val="0"/>
        <charset val="1"/>
      </rPr>
      <t xml:space="preserve">NAV-120~126</t>
    </r>
  </si>
  <si>
    <t xml:space="preserve">AI-61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</si>
  <si>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旁路 </t>
    </r>
    <r>
      <rPr>
        <sz val="10"/>
        <rFont val="Arial"/>
        <family val="0"/>
        <charset val="1"/>
      </rPr>
      <t xml:space="preserve">LLM" ≠ "</t>
    </r>
    <r>
      <rPr>
        <sz val="10"/>
        <rFont val="Noto Sans CJK SC"/>
        <family val="2"/>
      </rPr>
      <t xml:space="preserve">旁路仲裁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，三条指令的安全性质不同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</si>
  <si>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旁路 </t>
    </r>
    <r>
      <rPr>
        <sz val="10"/>
        <rFont val="Arial"/>
        <family val="0"/>
        <charset val="1"/>
      </rPr>
      <t xml:space="preserve">LLM" ≠ "</t>
    </r>
    <r>
      <rPr>
        <sz val="10"/>
        <rFont val="Noto Sans CJK SC"/>
        <family val="2"/>
      </rPr>
      <t xml:space="preserve">旁路仲裁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，三条指令的安全性质不同：</t>
    </r>
  </si>
  <si>
    <t xml:space="preserve">AI-62</t>
  </si>
  <si>
    <r>
      <rPr>
        <sz val="10"/>
        <rFont val="Noto Sans CJK SC"/>
        <family val="2"/>
      </rPr>
      <t xml:space="preserve">跳过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是为可靠性与延迟，但趴下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站立仍是运动指令，不能跳过安全检查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</si>
  <si>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跳过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是为可靠性与延迟，但趴下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站立仍是运动指令，不能跳过安全检查。</t>
    </r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若为四者一并直通底盘，建议拆开</t>
    </r>
  </si>
  <si>
    <r>
      <rPr>
        <sz val="10"/>
        <rFont val="Arial"/>
        <family val="0"/>
        <charset val="1"/>
      </rPr>
      <t xml:space="preserve">F9 / 14.10 </t>
    </r>
    <r>
      <rPr>
        <sz val="10"/>
        <rFont val="Noto Sans CJK SC"/>
        <family val="2"/>
      </rPr>
      <t xml:space="preserve">计算资源调度</t>
    </r>
  </si>
  <si>
    <t xml:space="preserve">AI-70</t>
  </si>
  <si>
    <t xml:space="preserve">明确划分常驻实时池与按需池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</si>
  <si>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明确划分常驻实时池与按需池：
常驻：</t>
    </r>
    <r>
      <rPr>
        <sz val="10"/>
        <rFont val="Arial"/>
        <family val="0"/>
        <charset val="1"/>
      </rPr>
      <t xml:space="preserve">YOLOv11n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深度、</t>
    </r>
    <r>
      <rPr>
        <sz val="10"/>
        <rFont val="Arial"/>
        <family val="0"/>
        <charset val="1"/>
      </rPr>
      <t xml:space="preserve">LiDAR </t>
    </r>
    <r>
      <rPr>
        <sz val="10"/>
        <rFont val="Noto Sans CJK SC"/>
        <family val="2"/>
      </rPr>
      <t xml:space="preserve">处理、视频编码
按需：</t>
    </r>
    <r>
      <rPr>
        <sz val="10"/>
        <rFont val="Arial"/>
        <family val="0"/>
        <charset val="1"/>
      </rPr>
      <t xml:space="preserve">LLM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ASR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TTS</t>
    </r>
    <r>
      <rPr>
        <sz val="10"/>
        <rFont val="Noto Sans CJK SC"/>
        <family val="2"/>
      </rPr>
      <t xml:space="preserve">、视觉大模型</t>
    </r>
  </si>
  <si>
    <t xml:space="preserve">AI-71</t>
  </si>
  <si>
    <r>
      <rPr>
        <sz val="10"/>
        <rFont val="Noto Sans CJK SC"/>
        <family val="2"/>
      </rPr>
      <t xml:space="preserve">建立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重载准入令牌，同一时刻仅允许一个重模型持有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</si>
  <si>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建立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重载准入令牌，同一时刻仅允许一个重模型持有。感知链路永不申请令牌，优先级最高</t>
    </r>
  </si>
  <si>
    <t xml:space="preserve">AI-72</t>
  </si>
  <si>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提升至 </t>
    </r>
    <r>
      <rPr>
        <sz val="10"/>
        <rFont val="Arial"/>
        <family val="0"/>
        <charset val="1"/>
      </rPr>
      <t xml:space="preserve">20 Hz </t>
    </r>
    <r>
      <rPr>
        <sz val="10"/>
        <rFont val="Noto Sans CJK SC"/>
        <family val="2"/>
      </rPr>
      <t xml:space="preserve">后，本项从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建议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升级为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必须</t>
    </r>
    <r>
      <rPr>
        <sz val="10"/>
        <rFont val="Arial"/>
        <family val="0"/>
        <charset val="1"/>
      </rPr>
      <t xml:space="preserve">" —— 10 Hz </t>
    </r>
    <r>
      <rPr>
        <sz val="10"/>
        <rFont val="Noto Sans CJK SC"/>
        <family val="2"/>
      </rPr>
      <t xml:space="preserve">时尚有余量，</t>
    </r>
    <r>
      <rPr>
        <sz val="10"/>
        <rFont val="Arial"/>
        <family val="0"/>
        <charset val="1"/>
      </rPr>
      <t xml:space="preserve">20 Hz </t>
    </r>
    <r>
      <rPr>
        <sz val="10"/>
        <rFont val="Noto Sans CJK SC"/>
        <family val="2"/>
      </rPr>
      <t xml:space="preserve">时余量消失</t>
    </r>
  </si>
  <si>
    <t xml:space="preserve">AI-73</t>
  </si>
  <si>
    <t xml:space="preserve">运动态节流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</si>
  <si>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运动态节流：机器人速度超过阈值时限制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层数或降级至 </t>
    </r>
    <r>
      <rPr>
        <sz val="10"/>
        <rFont val="Arial"/>
        <family val="0"/>
        <charset val="1"/>
      </rPr>
      <t xml:space="preserve">CPU</t>
    </r>
  </si>
  <si>
    <t xml:space="preserve">AI-74</t>
  </si>
  <si>
    <r>
      <rPr>
        <sz val="10"/>
        <rFont val="Arial"/>
        <family val="0"/>
        <charset val="1"/>
      </rPr>
      <t xml:space="preserve">KV cache </t>
    </r>
    <r>
      <rPr>
        <sz val="10"/>
        <rFont val="Noto Sans CJK SC"/>
        <family val="2"/>
      </rPr>
      <t xml:space="preserve">与上下文长度设硬上限，防止逐步吞噬统一内存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</si>
  <si>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KV cache </t>
    </r>
    <r>
      <rPr>
        <sz val="10"/>
        <rFont val="Noto Sans CJK SC"/>
        <family val="2"/>
      </rPr>
      <t xml:space="preserve">与上下文长度设硬上限，防止逐步吞噬统一内存</t>
    </r>
  </si>
  <si>
    <t xml:space="preserve">AI-75</t>
  </si>
  <si>
    <r>
      <rPr>
        <sz val="10"/>
        <rFont val="Noto Sans CJK SC"/>
        <family val="2"/>
      </rPr>
      <t xml:space="preserve">上述措施的必要性与强度待实测数据确认，见 </t>
    </r>
    <r>
      <rPr>
        <sz val="10"/>
        <rFont val="Arial"/>
        <family val="0"/>
        <charset val="1"/>
      </rPr>
      <t xml:space="preserve">§21</t>
    </r>
  </si>
  <si>
    <r>
      <rPr>
        <sz val="10"/>
        <rFont val="Arial"/>
        <family val="0"/>
        <charset val="1"/>
      </rPr>
      <t xml:space="preserve">F10 / 13. </t>
    </r>
    <r>
      <rPr>
        <sz val="10"/>
        <rFont val="Noto Sans CJK SC"/>
        <family val="2"/>
      </rPr>
      <t xml:space="preserve">多机与寻址需求（</t>
    </r>
    <r>
      <rPr>
        <sz val="10"/>
        <rFont val="Arial"/>
        <family val="0"/>
        <charset val="1"/>
      </rPr>
      <t xml:space="preserve">FLT</t>
    </r>
    <r>
      <rPr>
        <sz val="10"/>
        <rFont val="Noto Sans CJK SC"/>
        <family val="2"/>
      </rPr>
      <t xml:space="preserve">）</t>
    </r>
  </si>
  <si>
    <t xml:space="preserve">FLT-01</t>
  </si>
  <si>
    <t xml:space="preserve">当前落地为单机器狗，但系统设计必须按机群（狗群）形式设计</t>
  </si>
  <si>
    <r>
      <rPr>
        <sz val="10"/>
        <rFont val="Noto Sans CJK SC"/>
        <family val="2"/>
      </rPr>
      <t xml:space="preserve">【审查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联调】核对 </t>
    </r>
    <r>
      <rPr>
        <sz val="10"/>
        <rFont val="Arial"/>
        <family val="0"/>
        <charset val="1"/>
      </rPr>
      <t xml:space="preserve">key </t>
    </r>
    <r>
      <rPr>
        <sz val="10"/>
        <rFont val="Noto Sans CJK SC"/>
        <family val="2"/>
      </rPr>
      <t xml:space="preserve">前缀、</t>
    </r>
    <r>
      <rPr>
        <sz val="10"/>
        <rFont val="Arial"/>
        <family val="0"/>
        <charset val="1"/>
      </rPr>
      <t xml:space="preserve">robot_id </t>
    </r>
    <r>
      <rPr>
        <sz val="10"/>
        <rFont val="Noto Sans CJK SC"/>
        <family val="2"/>
      </rPr>
      <t xml:space="preserve">携带与云端按 </t>
    </r>
    <r>
      <rPr>
        <sz val="10"/>
        <rFont val="Arial"/>
        <family val="0"/>
        <charset val="1"/>
      </rPr>
      <t xml:space="preserve">robot_id </t>
    </r>
    <r>
      <rPr>
        <sz val="10"/>
        <rFont val="Noto Sans CJK SC"/>
        <family val="2"/>
      </rPr>
      <t xml:space="preserve">过滤。</t>
    </r>
  </si>
  <si>
    <r>
      <rPr>
        <sz val="10"/>
        <rFont val="Noto Sans CJK SC"/>
        <family val="2"/>
      </rPr>
      <t xml:space="preserve">✅ 单机 </t>
    </r>
    <r>
      <rPr>
        <sz val="10"/>
        <rFont val="Arial"/>
        <family val="0"/>
        <charset val="1"/>
      </rPr>
      <t xml:space="preserve">gj-001</t>
    </r>
    <r>
      <rPr>
        <sz val="10"/>
        <rFont val="Noto Sans CJK SC"/>
        <family val="2"/>
      </rPr>
      <t xml:space="preserve">，按机群寻址设计</t>
    </r>
  </si>
  <si>
    <t xml:space="preserve">FLT-02</t>
  </si>
  <si>
    <r>
      <rPr>
        <sz val="10"/>
        <rFont val="Noto Sans CJK SC"/>
        <family val="2"/>
      </rPr>
      <t xml:space="preserve">所有 </t>
    </r>
    <r>
      <rPr>
        <sz val="10"/>
        <rFont val="Arial"/>
        <family val="0"/>
        <charset val="1"/>
      </rPr>
      <t xml:space="preserve">Zenoh key</t>
    </r>
    <r>
      <rPr>
        <sz val="10"/>
        <rFont val="Noto Sans CJK SC"/>
        <family val="2"/>
      </rPr>
      <t xml:space="preserve">、事件、任务、状态消息从第一天起就携带 </t>
    </r>
    <r>
      <rPr>
        <sz val="10"/>
        <rFont val="Arial"/>
        <family val="0"/>
        <charset val="1"/>
      </rPr>
      <t xml:space="preserve">robot_id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</si>
  <si>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所有 </t>
    </r>
    <r>
      <rPr>
        <sz val="10"/>
        <rFont val="Arial"/>
        <family val="0"/>
        <charset val="1"/>
      </rPr>
      <t xml:space="preserve">Zenoh key</t>
    </r>
    <r>
      <rPr>
        <sz val="10"/>
        <rFont val="Noto Sans CJK SC"/>
        <family val="2"/>
      </rPr>
      <t xml:space="preserve">、事件、任务、状态消息从第一天起就携带 </t>
    </r>
    <r>
      <rPr>
        <sz val="10"/>
        <rFont val="Arial"/>
        <family val="0"/>
        <charset val="1"/>
      </rPr>
      <t xml:space="preserve">robot_id</t>
    </r>
    <r>
      <rPr>
        <sz val="10"/>
        <rFont val="Noto Sans CJK SC"/>
        <family val="2"/>
      </rPr>
      <t xml:space="preserve">。此项若不在设计初期确定，后续需修改全部消息定义</t>
    </r>
  </si>
  <si>
    <r>
      <rPr>
        <sz val="10"/>
        <rFont val="Arial"/>
        <family val="0"/>
        <charset val="1"/>
      </rPr>
      <t xml:space="preserve">✅ key </t>
    </r>
    <r>
      <rPr>
        <sz val="10"/>
        <rFont val="Noto Sans CJK SC"/>
        <family val="2"/>
      </rPr>
      <t xml:space="preserve">携带 </t>
    </r>
    <r>
      <rPr>
        <sz val="10"/>
        <rFont val="Arial"/>
        <family val="0"/>
        <charset val="1"/>
      </rPr>
      <t xml:space="preserve">robot_id</t>
    </r>
  </si>
  <si>
    <t xml:space="preserve">FLT-03</t>
  </si>
  <si>
    <r>
      <rPr>
        <sz val="10"/>
        <rFont val="Arial"/>
        <family val="0"/>
        <charset val="1"/>
      </rPr>
      <t xml:space="preserve">Zenoh key </t>
    </r>
    <r>
      <rPr>
        <sz val="10"/>
        <rFont val="Noto Sans CJK SC"/>
        <family val="2"/>
      </rPr>
      <t xml:space="preserve">建议形如 </t>
    </r>
    <r>
      <rPr>
        <sz val="10"/>
        <rFont val="Arial"/>
        <family val="0"/>
        <charset val="1"/>
      </rPr>
      <t xml:space="preserve">xbrain/{robot_id}/{plane}/{topic}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</si>
  <si>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Zenoh key </t>
    </r>
    <r>
      <rPr>
        <sz val="10"/>
        <rFont val="Noto Sans CJK SC"/>
        <family val="2"/>
      </rPr>
      <t xml:space="preserve">建议形如 </t>
    </r>
    <r>
      <rPr>
        <sz val="10"/>
        <rFont val="Arial"/>
        <family val="0"/>
        <charset val="1"/>
      </rPr>
      <t xml:space="preserve">xbrain/{robot_id}/{plane}/{topic}</t>
    </r>
  </si>
  <si>
    <r>
      <rPr>
        <sz val="10"/>
        <rFont val="Arial"/>
        <family val="0"/>
        <charset val="1"/>
      </rPr>
      <t xml:space="preserve">✅ xbrain/{robot_id}/... </t>
    </r>
    <r>
      <rPr>
        <sz val="10"/>
        <rFont val="Noto Sans CJK SC"/>
        <family val="2"/>
      </rPr>
      <t xml:space="preserve">形式</t>
    </r>
  </si>
  <si>
    <t xml:space="preserve">FLT-04</t>
  </si>
  <si>
    <t xml:space="preserve">本期不实现编队协同、任务分配、多机避让，仅保留寻址与身份这一层抽象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</si>
  <si>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本期不实现编队协同、任务分配、多机避让，仅保留寻址与身份这一层抽象。单机跑通优先</t>
    </r>
  </si>
  <si>
    <t xml:space="preserve">按需求本期不实现</t>
  </si>
  <si>
    <t xml:space="preserve">FLT-05</t>
  </si>
  <si>
    <r>
      <rPr>
        <sz val="10"/>
        <rFont val="Noto Sans CJK SC"/>
        <family val="2"/>
      </rPr>
      <t xml:space="preserve">云端订阅需支持按 </t>
    </r>
    <r>
      <rPr>
        <sz val="10"/>
        <rFont val="Arial"/>
        <family val="0"/>
        <charset val="1"/>
      </rPr>
      <t xml:space="preserve">robot_id </t>
    </r>
    <r>
      <rPr>
        <sz val="10"/>
        <rFont val="Noto Sans CJK SC"/>
        <family val="2"/>
      </rPr>
      <t xml:space="preserve">过滤与通配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</si>
  <si>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云端订阅需支持按 </t>
    </r>
    <r>
      <rPr>
        <sz val="10"/>
        <rFont val="Arial"/>
        <family val="0"/>
        <charset val="1"/>
      </rPr>
      <t xml:space="preserve">robot_id </t>
    </r>
    <r>
      <rPr>
        <sz val="10"/>
        <rFont val="Noto Sans CJK SC"/>
        <family val="2"/>
      </rPr>
      <t xml:space="preserve">过滤与通配</t>
    </r>
  </si>
  <si>
    <r>
      <rPr>
        <sz val="10"/>
        <rFont val="Arial"/>
        <family val="0"/>
        <charset val="1"/>
      </rPr>
      <t xml:space="preserve">F11 / 8.1 </t>
    </r>
    <r>
      <rPr>
        <sz val="10"/>
        <rFont val="Noto Sans CJK SC"/>
        <family val="2"/>
      </rPr>
      <t xml:space="preserve">充电桩与回桩机制</t>
    </r>
  </si>
  <si>
    <t xml:space="preserve">CHG-01</t>
  </si>
  <si>
    <t xml:space="preserve">采用自动回桩充电</t>
  </si>
  <si>
    <r>
      <rPr>
        <sz val="10"/>
        <rFont val="Noto Sans CJK SC"/>
        <family val="2"/>
      </rPr>
      <t xml:space="preserve">【真机，需充电桩与 </t>
    </r>
    <r>
      <rPr>
        <sz val="10"/>
        <rFont val="Arial"/>
        <family val="0"/>
        <charset val="1"/>
      </rPr>
      <t xml:space="preserve">RTK</t>
    </r>
    <r>
      <rPr>
        <sz val="10"/>
        <rFont val="Noto Sans CJK SC"/>
        <family val="2"/>
      </rPr>
      <t xml:space="preserve">】构造低电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选桩场景，核对任务打断、回桩导航、交接点停车与上报、充完恢复。</t>
    </r>
  </si>
  <si>
    <r>
      <rPr>
        <sz val="10"/>
        <rFont val="Noto Sans CJK SC"/>
        <family val="2"/>
      </rPr>
      <t xml:space="preserve">❌ 回桩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充电执行未接线（</t>
    </r>
    <r>
      <rPr>
        <sz val="10"/>
        <rFont val="Arial"/>
        <family val="0"/>
        <charset val="1"/>
      </rPr>
      <t xml:space="preserve">p3 </t>
    </r>
    <r>
      <rPr>
        <sz val="10"/>
        <rFont val="Noto Sans CJK SC"/>
        <family val="2"/>
      </rPr>
      <t xml:space="preserve">缺 </t>
    </r>
    <r>
      <rPr>
        <sz val="10"/>
        <rFont val="Arial"/>
        <family val="0"/>
        <charset val="1"/>
      </rPr>
      <t xml:space="preserve">charge </t>
    </r>
    <r>
      <rPr>
        <sz val="10"/>
        <rFont val="Noto Sans CJK SC"/>
        <family val="2"/>
      </rPr>
      <t xml:space="preserve">执行器）；选桩等逻辑如有仅单测，真机未测</t>
    </r>
  </si>
  <si>
    <t xml:space="preserve">CHG-02</t>
  </si>
  <si>
    <r>
      <rPr>
        <sz val="10"/>
        <rFont val="Noto Sans CJK SC"/>
        <family val="2"/>
      </rPr>
      <t xml:space="preserve">充电桩设置在巡逻路径上，并标定其 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位置点</t>
    </r>
  </si>
  <si>
    <t xml:space="preserve">CHG-03</t>
  </si>
  <si>
    <r>
      <rPr>
        <sz val="10"/>
        <rFont val="Noto Sans CJK SC"/>
        <family val="2"/>
      </rPr>
      <t xml:space="preserve">所有充电桩的 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位置点存入数据库，供选桩计算使用</t>
    </r>
  </si>
  <si>
    <r>
      <rPr>
        <sz val="10"/>
        <rFont val="Arial"/>
        <family val="0"/>
        <charset val="1"/>
      </rPr>
      <t xml:space="preserve">F11 / 8.2 </t>
    </r>
    <r>
      <rPr>
        <sz val="10"/>
        <rFont val="Noto Sans CJK SC"/>
        <family val="2"/>
      </rPr>
      <t xml:space="preserve">触发条件</t>
    </r>
  </si>
  <si>
    <t xml:space="preserve">CHG-10</t>
  </si>
  <si>
    <r>
      <rPr>
        <sz val="10"/>
        <rFont val="Noto Sans CJK SC"/>
        <family val="2"/>
      </rPr>
      <t xml:space="preserve">电量低于 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时打断当前任务，转入回桩充电</t>
    </r>
  </si>
  <si>
    <r>
      <rPr>
        <sz val="10"/>
        <rFont val="Noto Sans CJK SC"/>
        <family val="2"/>
      </rPr>
      <t xml:space="preserve">电量低于 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时打断当前任务，转入回桩充电。
 【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连带 </t>
    </r>
    <r>
      <rPr>
        <sz val="10"/>
        <rFont val="Arial"/>
        <family val="0"/>
        <charset val="1"/>
      </rPr>
      <t xml:space="preserve">· 2026-07-30</t>
    </r>
    <r>
      <rPr>
        <sz val="10"/>
        <rFont val="Noto Sans CJK SC"/>
        <family val="2"/>
      </rPr>
      <t xml:space="preserve">】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这个数字需要复核 —— 最高速度从 </t>
    </r>
    <r>
      <rPr>
        <sz val="10"/>
        <rFont val="Arial"/>
        <family val="0"/>
        <charset val="1"/>
      </rPr>
      <t xml:space="preserve">5 m/s </t>
    </r>
    <r>
      <rPr>
        <sz val="10"/>
        <rFont val="Noto Sans CJK SC"/>
        <family val="2"/>
      </rPr>
      <t xml:space="preserve">降到 </t>
    </r>
    <r>
      <rPr>
        <sz val="10"/>
        <rFont val="Arial"/>
        <family val="0"/>
        <charset val="1"/>
      </rPr>
      <t xml:space="preserve">2 m/s </t>
    </r>
    <r>
      <rPr>
        <sz val="10"/>
        <rFont val="Noto Sans CJK SC"/>
        <family val="2"/>
      </rPr>
      <t xml:space="preserve">后，同一条 </t>
    </r>
    <r>
      <rPr>
        <sz val="10"/>
        <rFont val="Arial"/>
        <family val="0"/>
        <charset val="1"/>
      </rPr>
      <t xml:space="preserve">2.5 km </t>
    </r>
    <r>
      <rPr>
        <sz val="10"/>
        <rFont val="Noto Sans CJK SC"/>
        <family val="2"/>
      </rPr>
      <t xml:space="preserve">巡逻路径的单圈耗时由 ≈</t>
    </r>
    <r>
      <rPr>
        <sz val="10"/>
        <rFont val="Arial"/>
        <family val="0"/>
        <charset val="1"/>
      </rPr>
      <t xml:space="preserve">8.3 min </t>
    </r>
    <r>
      <rPr>
        <sz val="10"/>
        <rFont val="Noto Sans CJK SC"/>
        <family val="2"/>
      </rPr>
      <t xml:space="preserve">涨到 ≈</t>
    </r>
    <r>
      <rPr>
        <sz val="10"/>
        <rFont val="Arial"/>
        <family val="0"/>
        <charset val="1"/>
      </rPr>
      <t xml:space="preserve">20.8 min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2.5 </t>
    </r>
    <r>
      <rPr>
        <sz val="10"/>
        <rFont val="Noto Sans CJK SC"/>
        <family val="2"/>
      </rPr>
      <t xml:space="preserve">倍）。 回桩所需的时间同比拉长，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对应的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还能走多远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没变（里程口径），但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还能撑多久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变了 ⇒ 凡按时间口径推导的余量（含现场规程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看到 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再叫人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）全部要重算。 数值本身不改，登记为待复核</t>
    </r>
  </si>
  <si>
    <t xml:space="preserve">CHG-11</t>
  </si>
  <si>
    <r>
      <rPr>
        <sz val="10"/>
        <rFont val="Noto Sans CJK SC"/>
        <family val="2"/>
      </rPr>
      <t xml:space="preserve">固定阈值不足以覆盖所有情况 —— 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够不够取决于最近的桩有多远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</si>
  <si>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固定阈值不足以覆盖所有情况 —— 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够不够取决于最近的桩有多远。建议叠加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能量可达性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判据，两者谁先触发算谁：
到最近可达桩的距离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安全系数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建议 </t>
    </r>
    <r>
      <rPr>
        <sz val="10"/>
        <rFont val="Arial"/>
        <family val="0"/>
        <charset val="1"/>
      </rPr>
      <t xml:space="preserve">1.5) &gt; </t>
    </r>
    <r>
      <rPr>
        <sz val="10"/>
        <rFont val="Noto Sans CJK SC"/>
        <family val="2"/>
      </rPr>
      <t xml:space="preserve">剩余续航里程
 【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连带】本判据是里程口径，因此结构上不受降速影响 —— 但它的输入 </t>
    </r>
    <r>
      <rPr>
        <sz val="10"/>
        <rFont val="Arial"/>
        <family val="0"/>
        <charset val="1"/>
      </rPr>
      <t xml:space="preserve">RemainMile </t>
    </r>
    <r>
      <rPr>
        <sz val="10"/>
        <rFont val="Noto Sans CJK SC"/>
        <family val="2"/>
      </rPr>
      <t xml:space="preserve">受影响，见 </t>
    </r>
    <r>
      <rPr>
        <sz val="10"/>
        <rFont val="Arial"/>
        <family val="0"/>
        <charset val="1"/>
      </rPr>
      <t xml:space="preserve">CHG-12</t>
    </r>
    <r>
      <rPr>
        <sz val="10"/>
        <rFont val="Noto Sans CJK SC"/>
        <family val="2"/>
      </rPr>
      <t xml:space="preserve">。 </t>
    </r>
    <r>
      <rPr>
        <sz val="10"/>
        <rFont val="Arial"/>
        <family val="0"/>
        <charset val="1"/>
      </rPr>
      <t xml:space="preserve">15 §5.3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V-3 </t>
    </r>
    <r>
      <rPr>
        <sz val="10"/>
        <rFont val="Noto Sans CJK SC"/>
        <family val="2"/>
      </rPr>
      <t xml:space="preserve">能量可达性判据须按 </t>
    </r>
    <r>
      <rPr>
        <sz val="10"/>
        <rFont val="Arial"/>
        <family val="0"/>
        <charset val="1"/>
      </rPr>
      <t xml:space="preserve">2 m/s </t>
    </r>
    <r>
      <rPr>
        <sz val="10"/>
        <rFont val="Noto Sans CJK SC"/>
        <family val="2"/>
      </rPr>
      <t xml:space="preserve">重算（该文已登记）</t>
    </r>
  </si>
  <si>
    <t xml:space="preserve">CHG-12</t>
  </si>
  <si>
    <r>
      <rPr>
        <sz val="10"/>
        <rFont val="Arial"/>
        <family val="0"/>
        <charset val="1"/>
      </rPr>
      <t xml:space="preserve">2026-07-28 </t>
    </r>
    <r>
      <rPr>
        <sz val="10"/>
        <rFont val="Noto Sans CJK SC"/>
        <family val="2"/>
      </rPr>
      <t xml:space="preserve">简化</t>
    </r>
  </si>
  <si>
    <r>
      <rPr>
        <sz val="10"/>
        <rFont val="Arial"/>
        <family val="0"/>
        <charset val="1"/>
      </rPr>
      <t xml:space="preserve">2026-07-28 </t>
    </r>
    <r>
      <rPr>
        <sz val="10"/>
        <rFont val="Noto Sans CJK SC"/>
        <family val="2"/>
      </rPr>
      <t xml:space="preserve">简化：底盘的运控状态直接提供 </t>
    </r>
    <r>
      <rPr>
        <sz val="10"/>
        <rFont val="Arial"/>
        <family val="0"/>
        <charset val="1"/>
      </rPr>
      <t xml:space="preserve">RemainMile</t>
    </r>
    <r>
      <rPr>
        <sz val="10"/>
        <rFont val="Noto Sans CJK SC"/>
        <family val="2"/>
      </rPr>
      <t xml:space="preserve">（预计剩余续航里程 </t>
    </r>
    <r>
      <rPr>
        <sz val="10"/>
        <rFont val="Arial"/>
        <family val="0"/>
        <charset val="1"/>
      </rPr>
      <t xml:space="preserve">km</t>
    </r>
    <r>
      <rPr>
        <sz val="10"/>
        <rFont val="Noto Sans CJK SC"/>
        <family val="2"/>
      </rPr>
      <t xml:space="preserve">），可直接用于 </t>
    </r>
    <r>
      <rPr>
        <sz val="10"/>
        <rFont val="Arial"/>
        <family val="0"/>
        <charset val="1"/>
      </rPr>
      <t xml:space="preserve">CHG-11 </t>
    </r>
    <r>
      <rPr>
        <sz val="10"/>
        <rFont val="Noto Sans CJK SC"/>
        <family val="2"/>
      </rPr>
      <t xml:space="preserve">的可达性判据，原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实测滑动窗口能耗率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方案作废，无需自行推算。
 【</t>
    </r>
    <r>
      <rPr>
        <sz val="10"/>
        <rFont val="Arial"/>
        <family val="0"/>
        <charset val="1"/>
      </rPr>
      <t xml:space="preserve">2026-07-30 </t>
    </r>
    <r>
      <rPr>
        <sz val="10"/>
        <rFont val="Noto Sans CJK SC"/>
        <family val="2"/>
      </rPr>
      <t xml:space="preserve">云深处答复引出的新风险】</t>
    </r>
    <r>
      <rPr>
        <sz val="10"/>
        <rFont val="Arial"/>
        <family val="0"/>
        <charset val="1"/>
      </rPr>
      <t xml:space="preserve">RemainMile </t>
    </r>
    <r>
      <rPr>
        <sz val="10"/>
        <rFont val="Noto Sans CJK SC"/>
        <family val="2"/>
      </rPr>
      <t xml:space="preserve">本身依赖当前速度 —— 云深处答它是「基于当前实际耗电数据综合计算」⇒ 反映的是当前速度工况下的剩余里程。 机器人在 </t>
    </r>
    <r>
      <rPr>
        <sz val="10"/>
        <rFont val="Arial"/>
        <family val="0"/>
        <charset val="1"/>
      </rPr>
      <t xml:space="preserve">obstacle_avoid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0.2–0.5 m/s</t>
    </r>
    <r>
      <rPr>
        <sz val="10"/>
        <rFont val="Noto Sans CJK SC"/>
        <family val="2"/>
      </rPr>
      <t xml:space="preserve">）低速绕障时，若低速四足的 </t>
    </r>
    <r>
      <rPr>
        <sz val="10"/>
        <rFont val="Arial"/>
        <family val="0"/>
        <charset val="1"/>
      </rPr>
      <t xml:space="preserve">Wh/km </t>
    </r>
    <r>
      <rPr>
        <sz val="10"/>
        <rFont val="Noto Sans CJK SC"/>
        <family val="2"/>
      </rPr>
      <t xml:space="preserve">更差（步态效率 ＋ 姿态维持功耗），估出的 </t>
    </r>
    <r>
      <rPr>
        <sz val="10"/>
        <rFont val="Arial"/>
        <family val="0"/>
        <charset val="1"/>
      </rPr>
      <t xml:space="preserve">RemainMile </t>
    </r>
    <r>
      <rPr>
        <sz val="10"/>
        <rFont val="Noto Sans CJK SC"/>
        <family val="2"/>
      </rPr>
      <t xml:space="preserve">会偏小 ⇒ 不必要的提前回桩。
 方向是保守的（安全对），代价是作业时间。 待 </t>
    </r>
    <r>
      <rPr>
        <sz val="10"/>
        <rFont val="Arial"/>
        <family val="0"/>
        <charset val="1"/>
      </rPr>
      <t xml:space="preserve">T-CHG-2 </t>
    </r>
    <r>
      <rPr>
        <sz val="10"/>
        <rFont val="Noto Sans CJK SC"/>
        <family val="2"/>
      </rPr>
      <t xml:space="preserve">量化 —— 交叉引用 </t>
    </r>
    <r>
      <rPr>
        <sz val="10"/>
        <rFont val="Arial"/>
        <family val="0"/>
        <charset val="1"/>
      </rPr>
      <t xml:space="preserve">15 Q-P3-19</t>
    </r>
    <r>
      <rPr>
        <sz val="10"/>
        <rFont val="Noto Sans CJK SC"/>
        <family val="2"/>
      </rPr>
      <t xml:space="preserve">（勿重复追问）</t>
    </r>
  </si>
  <si>
    <t xml:space="preserve">CHG-12b</t>
  </si>
  <si>
    <t xml:space="preserve">双电池</t>
  </si>
  <si>
    <r>
      <rPr>
        <sz val="10"/>
        <rFont val="Noto Sans CJK SC"/>
        <family val="2"/>
      </rPr>
      <t xml:space="preserve">双电池：</t>
    </r>
    <r>
      <rPr>
        <sz val="10"/>
        <rFont val="Arial"/>
        <family val="0"/>
        <charset val="1"/>
      </rPr>
      <t xml:space="preserve">SOC </t>
    </r>
    <r>
      <rPr>
        <sz val="10"/>
        <rFont val="Noto Sans CJK SC"/>
        <family val="2"/>
      </rPr>
      <t xml:space="preserve">取左右两块电池 </t>
    </r>
    <r>
      <rPr>
        <sz val="10"/>
        <rFont val="Arial"/>
        <family val="0"/>
        <charset val="1"/>
      </rPr>
      <t xml:space="preserve">level_pct </t>
    </r>
    <r>
      <rPr>
        <sz val="10"/>
        <rFont val="Noto Sans CJK SC"/>
        <family val="2"/>
      </rPr>
      <t xml:space="preserve">的较小值作为触发判据。
 【</t>
    </r>
    <r>
      <rPr>
        <sz val="10"/>
        <rFont val="Arial"/>
        <family val="0"/>
        <charset val="1"/>
      </rPr>
      <t xml:space="preserve">2026-07-30 </t>
    </r>
    <r>
      <rPr>
        <sz val="10"/>
        <rFont val="Noto Sans CJK SC"/>
        <family val="2"/>
      </rPr>
      <t xml:space="preserve">云深处已答，本条据此补全】：双电池为并联供电；「检测到只有一块电池插入时（</t>
    </r>
    <r>
      <rPr>
        <sz val="10"/>
        <rFont val="Arial"/>
        <family val="0"/>
        <charset val="1"/>
      </rPr>
      <t xml:space="preserve">PowerManagement::PowerState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robot-server </t>
    </r>
    <r>
      <rPr>
        <sz val="10"/>
        <rFont val="Noto Sans CJK SC"/>
        <family val="2"/>
      </rPr>
      <t xml:space="preserve">进入单电池模式，自动降低速度限制」。
 连带要求（新）：① 单电池模式必须作为一等状态量上报并进健康度（它会改变速度上限）；② </t>
    </r>
    <r>
      <rPr>
        <sz val="10"/>
        <rFont val="Arial"/>
        <family val="0"/>
        <charset val="1"/>
      </rPr>
      <t xml:space="preserve">caps.max_vx </t>
    </r>
    <r>
      <rPr>
        <sz val="10"/>
        <rFont val="Noto Sans CJK SC"/>
        <family val="2"/>
      </rPr>
      <t xml:space="preserve">是否随之下调尚未答 —— 见 </t>
    </r>
    <r>
      <rPr>
        <sz val="10"/>
        <rFont val="Arial"/>
        <family val="0"/>
        <charset val="1"/>
      </rPr>
      <t xml:space="preserve">§22 #24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15 Q-P3-18</t>
    </r>
    <r>
      <rPr>
        <sz val="10"/>
        <rFont val="Noto Sans CJK SC"/>
        <family val="2"/>
      </rPr>
      <t xml:space="preserve">；③ 在答复到达前，</t>
    </r>
    <r>
      <rPr>
        <sz val="10"/>
        <rFont val="Arial"/>
        <family val="0"/>
        <charset val="1"/>
      </rPr>
      <t xml:space="preserve">ETA </t>
    </r>
    <r>
      <rPr>
        <sz val="10"/>
        <rFont val="Noto Sans CJK SC"/>
        <family val="2"/>
      </rPr>
      <t xml:space="preserve">与进度预估一律用 </t>
    </r>
    <r>
      <rPr>
        <sz val="10"/>
        <rFont val="Arial"/>
        <family val="0"/>
        <charset val="1"/>
      </rPr>
      <t xml:space="preserve">state/chassis </t>
    </r>
    <r>
      <rPr>
        <sz val="10"/>
        <rFont val="Noto Sans CJK SC"/>
        <family val="2"/>
      </rPr>
      <t xml:space="preserve">回读的实际速度，不得用请求速度</t>
    </r>
  </si>
  <si>
    <r>
      <rPr>
        <sz val="10"/>
        <rFont val="Arial"/>
        <family val="0"/>
        <charset val="1"/>
      </rPr>
      <t xml:space="preserve">F11 / 8.3 </t>
    </r>
    <r>
      <rPr>
        <sz val="10"/>
        <rFont val="Noto Sans CJK SC"/>
        <family val="2"/>
      </rPr>
      <t xml:space="preserve">选桩算法</t>
    </r>
  </si>
  <si>
    <t xml:space="preserve">CHG-20</t>
  </si>
  <si>
    <r>
      <rPr>
        <sz val="10"/>
        <rFont val="Noto Sans CJK SC"/>
        <family val="2"/>
      </rPr>
      <t xml:space="preserve">根据当前 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定位与数据库中所有充电桩的 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定位做计算比较，选择顺路且最近的桩</t>
    </r>
  </si>
  <si>
    <t xml:space="preserve">CHG-21</t>
  </si>
  <si>
    <t xml:space="preserve">顺路的优先级高于距离远近</t>
  </si>
  <si>
    <t xml:space="preserve">CHG-22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</si>
  <si>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顺路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需要可计算的定义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</si>
  <si>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顺路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需要可计算的定义：
投影点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桩到「剩余路径」的最近投影
是否顺路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投影点在当前位置【前方】 且 侧向偏离 </t>
    </r>
    <r>
      <rPr>
        <sz val="10"/>
        <rFont val="Arial"/>
        <family val="0"/>
        <charset val="1"/>
      </rPr>
      <t xml:space="preserve">&lt; </t>
    </r>
    <r>
      <rPr>
        <sz val="10"/>
        <rFont val="Noto Sans CJK SC"/>
        <family val="2"/>
      </rPr>
      <t xml:space="preserve">阈值
绕行增量 </t>
    </r>
    <r>
      <rPr>
        <sz val="10"/>
        <rFont val="Arial"/>
        <family val="0"/>
        <charset val="1"/>
      </rPr>
      <t xml:space="preserve">= d(</t>
    </r>
    <r>
      <rPr>
        <sz val="10"/>
        <rFont val="Noto Sans CJK SC"/>
        <family val="2"/>
      </rPr>
      <t xml:space="preserve">当前→投影点</t>
    </r>
    <r>
      <rPr>
        <sz val="10"/>
        <rFont val="Arial"/>
        <family val="0"/>
        <charset val="1"/>
      </rPr>
      <t xml:space="preserve">) + d(</t>
    </r>
    <r>
      <rPr>
        <sz val="10"/>
        <rFont val="Noto Sans CJK SC"/>
        <family val="2"/>
      </rPr>
      <t xml:space="preserve">投影点→桩</t>
    </r>
    <r>
      <rPr>
        <sz val="10"/>
        <rFont val="Arial"/>
        <family val="0"/>
        <charset val="1"/>
      </rPr>
      <t xml:space="preserve">) − d(</t>
    </r>
    <r>
      <rPr>
        <sz val="10"/>
        <rFont val="Noto Sans CJK SC"/>
        <family val="2"/>
      </rPr>
      <t xml:space="preserve">当前→投影点</t>
    </r>
    <r>
      <rPr>
        <sz val="10"/>
        <rFont val="Arial"/>
        <family val="0"/>
        <charset val="1"/>
      </rPr>
      <t xml:space="preserve">)</t>
    </r>
  </si>
  <si>
    <t xml:space="preserve">CHG-23</t>
  </si>
  <si>
    <t xml:space="preserve">采用三级筛选而非加权打分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</si>
  <si>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采用三级筛选而非加权打分：
① 能量可达性过滤 —— 剔除电量不足以到达的桩
② 顺路优先 —— 存在顺路桩时只在顺路桩中挑选
③ 顺路中选最近 —— 无顺路桩时才退化为「全局最近」
理由：</t>
    </r>
    <r>
      <rPr>
        <sz val="10"/>
        <rFont val="Arial"/>
        <family val="0"/>
        <charset val="1"/>
      </rPr>
      <t xml:space="preserve">CHG-21 </t>
    </r>
    <r>
      <rPr>
        <sz val="10"/>
        <rFont val="Noto Sans CJK SC"/>
        <family val="2"/>
      </rPr>
      <t xml:space="preserve">是硬优先级，加权打分会出现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权重调整后顺路输给距离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的情况</t>
    </r>
  </si>
  <si>
    <r>
      <rPr>
        <sz val="10"/>
        <rFont val="Arial"/>
        <family val="0"/>
        <charset val="1"/>
      </rPr>
      <t xml:space="preserve">F11 / 8.4 </t>
    </r>
    <r>
      <rPr>
        <sz val="10"/>
        <rFont val="Noto Sans CJK SC"/>
        <family val="2"/>
      </rPr>
      <t xml:space="preserve">充电完成与任务恢复</t>
    </r>
  </si>
  <si>
    <t xml:space="preserve">CHG-30</t>
  </si>
  <si>
    <t xml:space="preserve">充电完成后重启任务调度</t>
  </si>
  <si>
    <t xml:space="preserve">CHG-31</t>
  </si>
  <si>
    <r>
      <rPr>
        <sz val="10"/>
        <rFont val="Noto Sans CJK SC"/>
        <family val="2"/>
      </rPr>
      <t xml:space="preserve">永远调度优先级最高且处于 </t>
    </r>
    <r>
      <rPr>
        <sz val="10"/>
        <rFont val="Arial"/>
        <family val="0"/>
        <charset val="1"/>
      </rPr>
      <t xml:space="preserve">ready </t>
    </r>
    <r>
      <rPr>
        <sz val="10"/>
        <rFont val="Noto Sans CJK SC"/>
        <family val="2"/>
      </rPr>
      <t xml:space="preserve">状态的任务执行</t>
    </r>
  </si>
  <si>
    <t xml:space="preserve">CHG-32</t>
  </si>
  <si>
    <r>
      <rPr>
        <sz val="10"/>
        <rFont val="Arial"/>
        <family val="0"/>
        <charset val="1"/>
      </rPr>
      <t xml:space="preserve">CHG-31 </t>
    </r>
    <r>
      <rPr>
        <sz val="10"/>
        <rFont val="Noto Sans CJK SC"/>
        <family val="2"/>
      </rPr>
      <t xml:space="preserve">的推论是「若存在更高优先级的 </t>
    </r>
    <r>
      <rPr>
        <sz val="10"/>
        <rFont val="Arial"/>
        <family val="0"/>
        <charset val="1"/>
      </rPr>
      <t xml:space="preserve">ready </t>
    </r>
    <r>
      <rPr>
        <sz val="10"/>
        <rFont val="Noto Sans CJK SC"/>
        <family val="2"/>
      </rPr>
      <t xml:space="preserve">任务，被电量打断的任务不会被恢复」</t>
    </r>
  </si>
  <si>
    <r>
      <rPr>
        <sz val="10"/>
        <rFont val="Noto Sans CJK SC"/>
        <family val="2"/>
      </rPr>
      <t xml:space="preserve">正式需求（原【待决策】，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按 </t>
    </r>
    <r>
      <rPr>
        <sz val="10"/>
        <rFont val="Arial"/>
        <family val="0"/>
        <charset val="1"/>
      </rPr>
      <t xml:space="preserve">suspended </t>
    </r>
    <r>
      <rPr>
        <sz val="10"/>
        <rFont val="Noto Sans CJK SC"/>
        <family val="2"/>
      </rPr>
      <t xml:space="preserve">裁定）：</t>
    </r>
    <r>
      <rPr>
        <sz val="10"/>
        <rFont val="Arial"/>
        <family val="0"/>
        <charset val="1"/>
      </rPr>
      <t xml:space="preserve">CHG-31 </t>
    </r>
    <r>
      <rPr>
        <sz val="10"/>
        <rFont val="Noto Sans CJK SC"/>
        <family val="2"/>
      </rPr>
      <t xml:space="preserve">的推论是「若存在更高优先级的 </t>
    </r>
    <r>
      <rPr>
        <sz val="10"/>
        <rFont val="Arial"/>
        <family val="0"/>
        <charset val="1"/>
      </rPr>
      <t xml:space="preserve">ready </t>
    </r>
    <r>
      <rPr>
        <sz val="10"/>
        <rFont val="Noto Sans CJK SC"/>
        <family val="2"/>
      </rPr>
      <t xml:space="preserve">任务，被电量打断的任务不会被恢复」。
 被打断的任务一律进入 </t>
    </r>
    <r>
      <rPr>
        <sz val="10"/>
        <rFont val="Arial"/>
        <family val="0"/>
        <charset val="1"/>
      </rPr>
      <t xml:space="preserve">suspended</t>
    </r>
    <r>
      <rPr>
        <sz val="10"/>
        <rFont val="Noto Sans CJK SC"/>
        <family val="2"/>
      </rPr>
      <t xml:space="preserve">，并记录为什么停：
　</t>
    </r>
    <r>
      <rPr>
        <sz val="10"/>
        <rFont val="Arial"/>
        <family val="0"/>
        <charset val="1"/>
      </rPr>
      <t xml:space="preserve">· suspend_kind ∈ yielding</t>
    </r>
    <r>
      <rPr>
        <sz val="10"/>
        <rFont val="Noto Sans CJK SC"/>
        <family val="2"/>
      </rPr>
      <t xml:space="preserve">（被抢占，等条件消失自己回来）</t>
    </r>
    <r>
      <rPr>
        <sz val="10"/>
        <rFont val="Arial"/>
        <family val="0"/>
        <charset val="1"/>
      </rPr>
      <t xml:space="preserve">/ passive</t>
    </r>
    <r>
      <rPr>
        <sz val="10"/>
        <rFont val="Noto Sans CJK SC"/>
        <family val="2"/>
      </rPr>
      <t xml:space="preserve">（被动挂起，如电量不可达）
　</t>
    </r>
    <r>
      <rPr>
        <sz val="10"/>
        <rFont val="Arial"/>
        <family val="0"/>
        <charset val="1"/>
      </rPr>
      <t xml:space="preserve">· suspend_reason ∈ preempted / low_battery / …
 </t>
    </r>
    <r>
      <rPr>
        <sz val="10"/>
        <rFont val="Noto Sans CJK SC"/>
        <family val="2"/>
      </rPr>
      <t xml:space="preserve">恢复条件满足（充电完成 ＆ 无更高优先级 </t>
    </r>
    <r>
      <rPr>
        <sz val="10"/>
        <rFont val="Arial"/>
        <family val="0"/>
        <charset val="1"/>
      </rPr>
      <t xml:space="preserve">ready </t>
    </r>
    <r>
      <rPr>
        <sz val="10"/>
        <rFont val="Noto Sans CJK SC"/>
        <family val="2"/>
      </rPr>
      <t xml:space="preserve">任务）时，由调度器把它转回 </t>
    </r>
    <r>
      <rPr>
        <sz val="10"/>
        <rFont val="Arial"/>
        <family val="0"/>
        <charset val="1"/>
      </rPr>
      <t xml:space="preserve">ready </t>
    </r>
    <r>
      <rPr>
        <sz val="10"/>
        <rFont val="Noto Sans CJK SC"/>
        <family val="2"/>
      </rPr>
      <t xml:space="preserve">再参与竞争。
 不选 </t>
    </r>
    <r>
      <rPr>
        <sz val="10"/>
        <rFont val="Arial"/>
        <family val="0"/>
        <charset val="1"/>
      </rPr>
      <t xml:space="preserve">ready </t>
    </r>
    <r>
      <rPr>
        <sz val="10"/>
        <rFont val="Noto Sans CJK SC"/>
        <family val="2"/>
      </rPr>
      <t xml:space="preserve">的理由：</t>
    </r>
    <r>
      <rPr>
        <sz val="10"/>
        <rFont val="Arial"/>
        <family val="0"/>
        <charset val="1"/>
      </rPr>
      <t xml:space="preserve">ready </t>
    </r>
    <r>
      <rPr>
        <sz val="10"/>
        <rFont val="Noto Sans CJK SC"/>
        <family val="2"/>
      </rPr>
      <t xml:space="preserve">表达不出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在等充电完成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，且会让它在充电途中被反复调度起来又立刻因低电再次打断（抖动）。
 落点：</t>
    </r>
    <r>
      <rPr>
        <sz val="10"/>
        <rFont val="Arial"/>
        <family val="0"/>
        <charset val="1"/>
      </rPr>
      <t xml:space="preserve">15 §0.2.1 / §7.2</t>
    </r>
    <r>
      <rPr>
        <sz val="10"/>
        <rFont val="Noto Sans CJK SC"/>
        <family val="2"/>
      </rPr>
      <t xml:space="preserve">； 依 </t>
    </r>
    <r>
      <rPr>
        <sz val="10"/>
        <rFont val="Arial"/>
        <family val="0"/>
        <charset val="1"/>
      </rPr>
      <t xml:space="preserve">U07a </t>
    </r>
    <r>
      <rPr>
        <sz val="10"/>
        <rFont val="Noto Sans CJK SC"/>
        <family val="2"/>
      </rPr>
      <t xml:space="preserve">推定，待甲方书面确认</t>
    </r>
  </si>
  <si>
    <t xml:space="preserve">CHG-33</t>
  </si>
  <si>
    <r>
      <rPr>
        <sz val="10"/>
        <rFont val="Noto Sans CJK SC"/>
        <family val="2"/>
      </rPr>
      <t xml:space="preserve">恢复时断点续跑 —— </t>
    </r>
    <r>
      <rPr>
        <sz val="10"/>
        <rFont val="Arial"/>
        <family val="0"/>
        <charset val="1"/>
      </rPr>
      <t xml:space="preserve">resume_policy = 'continue'</t>
    </r>
    <r>
      <rPr>
        <sz val="10"/>
        <rFont val="Noto Sans CJK SC"/>
        <family val="2"/>
      </rPr>
      <t xml:space="preserve">，走 </t>
    </r>
    <r>
      <rPr>
        <sz val="10"/>
        <rFont val="Arial"/>
        <family val="0"/>
        <charset val="1"/>
      </rPr>
      <t xml:space="preserve">U07a</t>
    </r>
    <r>
      <rPr>
        <sz val="10"/>
        <rFont val="Noto Sans CJK SC"/>
        <family val="2"/>
      </rPr>
      <t xml:space="preserve">「接入路径上最近的未完成点」＋ …</t>
    </r>
  </si>
  <si>
    <r>
      <rPr>
        <sz val="10"/>
        <rFont val="Noto Sans CJK SC"/>
        <family val="2"/>
      </rPr>
      <t xml:space="preserve">正式需求（原【待决策】，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按断点续跑裁定）：恢复时断点续跑 —— </t>
    </r>
    <r>
      <rPr>
        <sz val="10"/>
        <rFont val="Arial"/>
        <family val="0"/>
        <charset val="1"/>
      </rPr>
      <t xml:space="preserve">resume_policy = 'continue'</t>
    </r>
    <r>
      <rPr>
        <sz val="10"/>
        <rFont val="Noto Sans CJK SC"/>
        <family val="2"/>
      </rPr>
      <t xml:space="preserve">，走 </t>
    </r>
    <r>
      <rPr>
        <sz val="10"/>
        <rFont val="Arial"/>
        <family val="0"/>
        <charset val="1"/>
      </rPr>
      <t xml:space="preserve">U07a</t>
    </r>
    <r>
      <rPr>
        <sz val="10"/>
        <rFont val="Noto Sans CJK SC"/>
        <family val="2"/>
      </rPr>
      <t xml:space="preserve">「接入路径上最近的未完成点」＋ 重映射，不从头重来。
 三类例外不是对本条的推翻（物理上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续跑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无意义）：</t>
    </r>
    <r>
      <rPr>
        <sz val="10"/>
        <rFont val="Arial"/>
        <family val="0"/>
        <charset val="1"/>
      </rPr>
      <t xml:space="preserve">charge → restart</t>
    </r>
    <r>
      <rPr>
        <sz val="10"/>
        <rFont val="Noto Sans CJK SC"/>
        <family val="2"/>
      </rPr>
      <t xml:space="preserve">（重新选桩）</t>
    </r>
    <r>
      <rPr>
        <sz val="10"/>
        <rFont val="Arial"/>
        <family val="0"/>
        <charset val="1"/>
      </rPr>
      <t xml:space="preserve">· follow → abort</t>
    </r>
    <r>
      <rPr>
        <sz val="10"/>
        <rFont val="Noto Sans CJK SC"/>
        <family val="2"/>
      </rPr>
      <t xml:space="preserve">（目标已丢）</t>
    </r>
    <r>
      <rPr>
        <sz val="10"/>
        <rFont val="Arial"/>
        <family val="0"/>
        <charset val="1"/>
      </rPr>
      <t xml:space="preserve">· teach → manual</t>
    </r>
    <r>
      <rPr>
        <sz val="10"/>
        <rFont val="Noto Sans CJK SC"/>
        <family val="2"/>
      </rPr>
      <t xml:space="preserve">。 全表在 </t>
    </r>
    <r>
      <rPr>
        <sz val="10"/>
        <rFont val="Arial"/>
        <family val="0"/>
        <charset val="1"/>
      </rPr>
      <t xml:space="preserve">15 §7.5</t>
    </r>
    <r>
      <rPr>
        <sz val="10"/>
        <rFont val="Noto Sans CJK SC"/>
        <family val="2"/>
      </rPr>
      <t xml:space="preserve">。
 依 </t>
    </r>
    <r>
      <rPr>
        <sz val="10"/>
        <rFont val="Arial"/>
        <family val="0"/>
        <charset val="1"/>
      </rPr>
      <t xml:space="preserve">U07a </t>
    </r>
    <r>
      <rPr>
        <sz val="10"/>
        <rFont val="Noto Sans CJK SC"/>
        <family val="2"/>
      </rPr>
      <t xml:space="preserve">推定，待甲方书面确认</t>
    </r>
  </si>
  <si>
    <t xml:space="preserve">CHG-34</t>
  </si>
  <si>
    <t xml:space="preserve">任务必须持久化执行进度</t>
  </si>
  <si>
    <r>
      <rPr>
        <sz val="10"/>
        <rFont val="Noto Sans CJK SC"/>
        <family val="2"/>
      </rPr>
      <t xml:space="preserve">正式需求（原【建议】，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结账 —— </t>
    </r>
    <r>
      <rPr>
        <sz val="10"/>
        <rFont val="Arial"/>
        <family val="0"/>
        <charset val="1"/>
      </rPr>
      <t xml:space="preserve">CHG-32/33 </t>
    </r>
    <r>
      <rPr>
        <sz val="10"/>
        <rFont val="Noto Sans CJK SC"/>
        <family val="2"/>
      </rPr>
      <t xml:space="preserve">裁定后它已是必须项）：任务必须持久化执行进度。
 必须存在的字段（现在加是一行，后期补要改数据库）：
　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进度指针 —— </t>
    </r>
    <r>
      <rPr>
        <sz val="10"/>
        <rFont val="Arial"/>
        <family val="0"/>
        <charset val="1"/>
      </rPr>
      <t xml:space="preserve">waypoint_index / seg_done_m / dist_done_m / skipped_m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15 patrol_progress</t>
    </r>
    <r>
      <rPr>
        <sz val="10"/>
        <rFont val="Noto Sans CJK SC"/>
        <family val="2"/>
      </rPr>
      <t xml:space="preserve">）
　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已完成子任务集合
　</t>
    </r>
    <r>
      <rPr>
        <sz val="10"/>
        <rFont val="Arial"/>
        <family val="0"/>
        <charset val="1"/>
      </rPr>
      <t xml:space="preserve">· resume_policy —— </t>
    </r>
    <r>
      <rPr>
        <sz val="10"/>
        <rFont val="Noto Sans CJK SC"/>
        <family val="2"/>
      </rPr>
      <t xml:space="preserve">四值闭集 </t>
    </r>
    <r>
      <rPr>
        <sz val="10"/>
        <rFont val="Arial"/>
        <family val="0"/>
        <charset val="1"/>
      </rPr>
      <t xml:space="preserve">continue / restart / abort / manual</t>
    </r>
    <r>
      <rPr>
        <sz val="10"/>
        <rFont val="Noto Sans CJK SC"/>
        <family val="2"/>
      </rPr>
      <t xml:space="preserve">（ 权威定义在 </t>
    </r>
    <r>
      <rPr>
        <sz val="10"/>
        <rFont val="Arial"/>
        <family val="0"/>
        <charset val="1"/>
      </rPr>
      <t xml:space="preserve">15 §7.5</t>
    </r>
    <r>
      <rPr>
        <sz val="10"/>
        <rFont val="Noto Sans CJK SC"/>
        <family val="2"/>
      </rPr>
      <t xml:space="preserve">，按任务类型给缺省；任务级可经 </t>
    </r>
    <r>
      <rPr>
        <sz val="10"/>
        <rFont val="Arial"/>
        <family val="0"/>
        <charset val="1"/>
      </rPr>
      <t xml:space="preserve">TaskCommand.task.resume_policy </t>
    </r>
    <r>
      <rPr>
        <sz val="10"/>
        <rFont val="Noto Sans CJK SC"/>
        <family val="2"/>
      </rPr>
      <t xml:space="preserve">覆盖）
　</t>
    </r>
    <r>
      <rPr>
        <sz val="10"/>
        <rFont val="Arial"/>
        <family val="0"/>
        <charset val="1"/>
      </rPr>
      <t xml:space="preserve">· suspend_kind / suspend_reason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CHG-32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resume_policy </t>
    </r>
    <r>
      <rPr>
        <sz val="10"/>
        <rFont val="Noto Sans CJK SC"/>
        <family val="2"/>
      </rPr>
      <t xml:space="preserve">在【入库那一刻】解析后写死进 </t>
    </r>
    <r>
      <rPr>
        <sz val="10"/>
        <rFont val="Arial"/>
        <family val="0"/>
        <charset val="1"/>
      </rPr>
      <t xml:space="preserve">tasks.resume_policy</t>
    </r>
    <r>
      <rPr>
        <sz val="10"/>
        <rFont val="Noto Sans CJK SC"/>
        <family val="2"/>
      </rPr>
      <t xml:space="preserve">，之后不再回读配置（</t>
    </r>
    <r>
      <rPr>
        <sz val="10"/>
        <rFont val="Arial"/>
        <family val="0"/>
        <charset val="1"/>
      </rPr>
      <t xml:space="preserve">15 §7.5</t>
    </r>
    <r>
      <rPr>
        <sz val="10"/>
        <rFont val="Noto Sans CJK SC"/>
        <family val="2"/>
      </rPr>
      <t xml:space="preserve">）。
 甲方若改判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重来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，只改缺省值，</t>
    </r>
    <r>
      <rPr>
        <sz val="10"/>
        <rFont val="Arial"/>
        <family val="0"/>
        <charset val="1"/>
      </rPr>
      <t xml:space="preserve">schema </t>
    </r>
    <r>
      <rPr>
        <sz val="10"/>
        <rFont val="Noto Sans CJK SC"/>
        <family val="2"/>
      </rPr>
      <t xml:space="preserve">不动</t>
    </r>
  </si>
  <si>
    <r>
      <rPr>
        <sz val="10"/>
        <rFont val="Arial"/>
        <family val="0"/>
        <charset val="1"/>
      </rPr>
      <t xml:space="preserve">F11 / 8.4b </t>
    </r>
    <r>
      <rPr>
        <sz val="10"/>
        <rFont val="Noto Sans CJK SC"/>
        <family val="2"/>
      </rPr>
      <t xml:space="preserve">【新】两段式职责边界 （</t>
    </r>
    <r>
      <rPr>
        <sz val="10"/>
        <rFont val="Arial"/>
        <family val="0"/>
        <charset val="1"/>
      </rPr>
      <t xml:space="preserve">2026-07-28 </t>
    </r>
    <r>
      <rPr>
        <sz val="10"/>
        <rFont val="Noto Sans CJK SC"/>
        <family val="2"/>
      </rPr>
      <t xml:space="preserve">定稿）</t>
    </r>
  </si>
  <si>
    <t xml:space="preserve">CHG-35</t>
  </si>
  <si>
    <t xml:space="preserve">充电分为两段</t>
  </si>
  <si>
    <r>
      <rPr>
        <sz val="10"/>
        <rFont val="Noto Sans CJK SC"/>
        <family val="2"/>
      </rPr>
      <t xml:space="preserve">充电分为两段：
段 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导航到桩 —— 我方 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负责，依据数据库中充电桩 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坐标导航至交接点
段 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精确对接与充电 —— 底盘 </t>
    </r>
    <r>
      <rPr>
        <sz val="10"/>
        <rFont val="Arial"/>
        <family val="0"/>
        <charset val="1"/>
      </rPr>
      <t xml:space="preserve">charge_manager </t>
    </r>
    <r>
      <rPr>
        <sz val="10"/>
        <rFont val="Noto Sans CJK SC"/>
        <family val="2"/>
      </rPr>
      <t xml:space="preserve">负责（反光柱定位 → 进桩 → 充电 → 退桩）</t>
    </r>
  </si>
  <si>
    <t xml:space="preserve">CHG-36</t>
  </si>
  <si>
    <r>
      <rPr>
        <sz val="10"/>
        <rFont val="Noto Sans CJK SC"/>
        <family val="2"/>
      </rPr>
      <t xml:space="preserve">本期仅实现段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，段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预留接口不实现</t>
    </r>
  </si>
  <si>
    <r>
      <rPr>
        <sz val="10"/>
        <rFont val="Noto Sans CJK SC"/>
        <family val="2"/>
      </rPr>
      <t xml:space="preserve">本期仅实现段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，段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预留接口不实现。机器人导航至桩前交接点后停车并上报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已到位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，充电由人工完成</t>
    </r>
  </si>
  <si>
    <t xml:space="preserve">CHG-37</t>
  </si>
  <si>
    <r>
      <rPr>
        <sz val="10"/>
        <rFont val="Noto Sans CJK SC"/>
        <family val="2"/>
      </rPr>
      <t xml:space="preserve">因段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不实现，底盘 </t>
    </r>
    <r>
      <rPr>
        <sz val="10"/>
        <rFont val="Arial"/>
        <family val="0"/>
        <charset val="1"/>
      </rPr>
      <t xml:space="preserve">charge_manager </t>
    </r>
    <r>
      <rPr>
        <sz val="10"/>
        <rFont val="Noto Sans CJK SC"/>
        <family val="2"/>
      </rPr>
      <t xml:space="preserve">服务始终保持关闭 —— 原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导航与充电的服务互斥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问题（原 </t>
    </r>
    <r>
      <rPr>
        <sz val="10"/>
        <rFont val="Arial"/>
        <family val="0"/>
        <charset val="1"/>
      </rPr>
      <t xml:space="preserve">CHG…</t>
    </r>
  </si>
  <si>
    <r>
      <rPr>
        <sz val="10"/>
        <rFont val="Noto Sans CJK SC"/>
        <family val="2"/>
      </rPr>
      <t xml:space="preserve">因段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不实现，底盘 </t>
    </r>
    <r>
      <rPr>
        <sz val="10"/>
        <rFont val="Arial"/>
        <family val="0"/>
        <charset val="1"/>
      </rPr>
      <t xml:space="preserve">charge_manager </t>
    </r>
    <r>
      <rPr>
        <sz val="10"/>
        <rFont val="Noto Sans CJK SC"/>
        <family val="2"/>
      </rPr>
      <t xml:space="preserve">服务始终保持关闭 —— 原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导航与充电的服务互斥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问题（原 </t>
    </r>
    <r>
      <rPr>
        <sz val="10"/>
        <rFont val="Arial"/>
        <family val="0"/>
        <charset val="1"/>
      </rPr>
      <t xml:space="preserve">CHG-41 </t>
    </r>
    <r>
      <rPr>
        <sz val="10"/>
        <rFont val="Noto Sans CJK SC"/>
        <family val="2"/>
      </rPr>
      <t xml:space="preserve">关联项）自然消失，导航模式全程可用，无需服务切换</t>
    </r>
  </si>
  <si>
    <t xml:space="preserve">CHG-38</t>
  </si>
  <si>
    <r>
      <rPr>
        <sz val="10"/>
        <rFont val="Noto Sans CJK SC"/>
        <family val="2"/>
      </rPr>
      <t xml:space="preserve">段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依赖 </t>
    </r>
    <r>
      <rPr>
        <sz val="10"/>
        <rFont val="Arial"/>
        <family val="0"/>
        <charset val="1"/>
      </rPr>
      <t xml:space="preserve">/CHARGE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drdds </t>
    </r>
    <r>
      <rPr>
        <sz val="10"/>
        <rFont val="Noto Sans CJK SC"/>
        <family val="2"/>
      </rPr>
      <t xml:space="preserve">自定义消息），云深处尚未提供</t>
    </r>
  </si>
  <si>
    <r>
      <rPr>
        <sz val="10"/>
        <rFont val="Noto Sans CJK SC"/>
        <family val="2"/>
      </rPr>
      <t xml:space="preserve">段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依赖 </t>
    </r>
    <r>
      <rPr>
        <sz val="10"/>
        <rFont val="Arial"/>
        <family val="0"/>
        <charset val="1"/>
      </rPr>
      <t xml:space="preserve">/CHARGE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drdds </t>
    </r>
    <r>
      <rPr>
        <sz val="10"/>
        <rFont val="Noto Sans CJK SC"/>
        <family val="2"/>
      </rPr>
      <t xml:space="preserve">自定义消息），云深处尚未提供。 已确认采用自建 </t>
    </r>
    <r>
      <rPr>
        <sz val="10"/>
        <rFont val="Arial"/>
        <family val="0"/>
        <charset val="1"/>
      </rPr>
      <t xml:space="preserve">drdds </t>
    </r>
    <r>
      <rPr>
        <sz val="10"/>
        <rFont val="Noto Sans CJK SC"/>
        <family val="2"/>
      </rPr>
      <t xml:space="preserve">消息包方案（手册已给出完整字段定义），未来接入段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时无需再等</t>
    </r>
  </si>
  <si>
    <t xml:space="preserve">CHG-39</t>
  </si>
  <si>
    <r>
      <rPr>
        <sz val="10"/>
        <rFont val="Noto Sans CJK SC"/>
        <family val="2"/>
      </rPr>
      <t xml:space="preserve">待确认（</t>
    </r>
    <r>
      <rPr>
        <sz val="10"/>
        <rFont val="Arial"/>
        <family val="0"/>
        <charset val="1"/>
      </rPr>
      <t xml:space="preserve">Q19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</si>
  <si>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待确认（</t>
    </r>
    <r>
      <rPr>
        <sz val="10"/>
        <rFont val="Arial"/>
        <family val="0"/>
        <charset val="1"/>
      </rPr>
      <t xml:space="preserve">Q19</t>
    </r>
    <r>
      <rPr>
        <sz val="10"/>
        <rFont val="Noto Sans CJK SC"/>
        <family val="2"/>
      </rPr>
      <t xml:space="preserve">）：交接点相对充电桩的位置与姿态要求，供未来接入段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时使用</t>
    </r>
  </si>
  <si>
    <r>
      <rPr>
        <sz val="10"/>
        <rFont val="Arial"/>
        <family val="0"/>
        <charset val="1"/>
      </rPr>
      <t xml:space="preserve">F11 / 8.5 </t>
    </r>
    <r>
      <rPr>
        <sz val="10"/>
        <rFont val="Noto Sans CJK SC"/>
        <family val="2"/>
      </rPr>
      <t xml:space="preserve">边界情况</t>
    </r>
  </si>
  <si>
    <t xml:space="preserve">CHG-40</t>
  </si>
  <si>
    <r>
      <rPr>
        <sz val="10"/>
        <rFont val="Noto Sans CJK SC"/>
        <family val="2"/>
      </rPr>
      <t xml:space="preserve">明确待定（原【待决策】，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结账）</t>
    </r>
  </si>
  <si>
    <r>
      <rPr>
        <sz val="10"/>
        <rFont val="Noto Sans CJK SC"/>
        <family val="2"/>
      </rPr>
      <t xml:space="preserve">明确待定（原【待决策】，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结账）：充电对接失败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桩故障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充不进电 —— 重试几次？失败后转向下一个桩？还是就地停车报警？
 待定期间的实现行为（本期不阻塞编码）：本期段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不实现（</t>
    </r>
    <r>
      <rPr>
        <sz val="10"/>
        <rFont val="Arial"/>
        <family val="0"/>
        <charset val="1"/>
      </rPr>
      <t xml:space="preserve">CHG-36</t>
    </r>
    <r>
      <rPr>
        <sz val="10"/>
        <rFont val="Noto Sans CJK SC"/>
        <family val="2"/>
      </rPr>
      <t xml:space="preserve">，底盘 </t>
    </r>
    <r>
      <rPr>
        <sz val="10"/>
        <rFont val="Arial"/>
        <family val="0"/>
        <charset val="1"/>
      </rPr>
      <t xml:space="preserve">charge_manager </t>
    </r>
    <r>
      <rPr>
        <sz val="10"/>
        <rFont val="Noto Sans CJK SC"/>
        <family val="2"/>
      </rPr>
      <t xml:space="preserve">常闭）⇒ 本期没有可失败的对接动作 —— 机器人只导航到交接点、停车、上报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已到位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，充电由人工完成。 因此本条的降级策略留待接入段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时再定； 届时 </t>
    </r>
    <r>
      <rPr>
        <sz val="10"/>
        <rFont val="Arial"/>
        <family val="0"/>
        <charset val="1"/>
      </rPr>
      <t xml:space="preserve">/CHARGE_STATUS.error_code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§8.4b </t>
    </r>
    <r>
      <rPr>
        <sz val="10"/>
        <rFont val="Noto Sans CJK SC"/>
        <family val="2"/>
      </rPr>
      <t xml:space="preserve">异常码表）已是现成的分类依据。
 落点：</t>
    </r>
    <r>
      <rPr>
        <sz val="10"/>
        <rFont val="Arial"/>
        <family val="0"/>
        <charset val="1"/>
      </rPr>
      <t xml:space="preserve">§22 #13</t>
    </r>
  </si>
  <si>
    <t xml:space="preserve">CHG-41</t>
  </si>
  <si>
    <r>
      <rPr>
        <sz val="10"/>
        <rFont val="Noto Sans CJK SC"/>
        <family val="2"/>
      </rPr>
      <t xml:space="preserve">明确待定（原【待决策】，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结账）：充电中能否被打断 —— 紧急任务到达时，充到 </t>
    </r>
    <r>
      <rPr>
        <sz val="10"/>
        <rFont val="Arial"/>
        <family val="0"/>
        <charset val="1"/>
      </rPr>
      <t xml:space="preserve">60% </t>
    </r>
    <r>
      <rPr>
        <sz val="10"/>
        <rFont val="Noto Sans CJK SC"/>
        <family val="2"/>
      </rPr>
      <t xml:space="preserve">能否出发，还是必须充满？
 待定期间的实现行为（失效方向安全）： 必须充满才出发（</t>
    </r>
    <r>
      <rPr>
        <sz val="10"/>
        <rFont val="Arial"/>
        <family val="0"/>
        <charset val="1"/>
      </rPr>
      <t xml:space="preserve">charge.min_soc_to_depart </t>
    </r>
    <r>
      <rPr>
        <sz val="10"/>
        <rFont val="Noto Sans CJK SC"/>
        <family val="2"/>
      </rPr>
      <t xml:space="preserve">缺省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）。
 理由：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够用即走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需要一个可信的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够不够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判据，而它依赖 </t>
    </r>
    <r>
      <rPr>
        <sz val="10"/>
        <rFont val="Arial"/>
        <family val="0"/>
        <charset val="1"/>
      </rPr>
      <t xml:space="preserve">RemainMile —— </t>
    </r>
    <r>
      <rPr>
        <sz val="10"/>
        <rFont val="Noto Sans CJK SC"/>
        <family val="2"/>
      </rPr>
      <t xml:space="preserve">而 </t>
    </r>
    <r>
      <rPr>
        <sz val="10"/>
        <rFont val="Arial"/>
        <family val="0"/>
        <charset val="1"/>
      </rPr>
      <t xml:space="preserve">RemainMile </t>
    </r>
    <r>
      <rPr>
        <sz val="10"/>
        <rFont val="Noto Sans CJK SC"/>
        <family val="2"/>
      </rPr>
      <t xml:space="preserve">正因低速工况可能偏小（</t>
    </r>
    <r>
      <rPr>
        <sz val="10"/>
        <rFont val="Arial"/>
        <family val="0"/>
        <charset val="1"/>
      </rPr>
      <t xml:space="preserve">CHG-12</t>
    </r>
    <r>
      <rPr>
        <sz val="10"/>
        <rFont val="Noto Sans CJK SC"/>
        <family val="2"/>
      </rPr>
      <t xml:space="preserve">）⇒ 此时冒进的代价是半路没电，而保守的代价只是出勤晚几分钟。
 甲方改判时只改 </t>
    </r>
    <r>
      <rPr>
        <sz val="10"/>
        <rFont val="Arial"/>
        <family val="0"/>
        <charset val="1"/>
      </rPr>
      <t xml:space="preserve">charge.min_soc_to_depart </t>
    </r>
    <r>
      <rPr>
        <sz val="10"/>
        <rFont val="Noto Sans CJK SC"/>
        <family val="2"/>
      </rPr>
      <t xml:space="preserve">一个值，调度逻辑不变。 落点：</t>
    </r>
    <r>
      <rPr>
        <sz val="10"/>
        <rFont val="Arial"/>
        <family val="0"/>
        <charset val="1"/>
      </rPr>
      <t xml:space="preserve">§22 #14</t>
    </r>
  </si>
  <si>
    <t xml:space="preserve">CHG-42</t>
  </si>
  <si>
    <r>
      <rPr>
        <sz val="10"/>
        <rFont val="Noto Sans CJK SC"/>
        <family val="2"/>
      </rPr>
      <t xml:space="preserve">充电桩在机群场景下是独占资源 —— 构成 </t>
    </r>
    <r>
      <rPr>
        <sz val="10"/>
        <rFont val="Arial"/>
        <family val="0"/>
        <charset val="1"/>
      </rPr>
      <t xml:space="preserve">CON-01 </t>
    </r>
    <r>
      <rPr>
        <sz val="10"/>
        <rFont val="Noto Sans CJK SC"/>
        <family val="2"/>
      </rPr>
      <t xml:space="preserve">的第七个仲裁域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</si>
  <si>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充电桩在机群场景下是独占资源 —— 构成 </t>
    </r>
    <r>
      <rPr>
        <sz val="10"/>
        <rFont val="Arial"/>
        <family val="0"/>
        <charset val="1"/>
      </rPr>
      <t xml:space="preserve">CON-01 </t>
    </r>
    <r>
      <rPr>
        <sz val="10"/>
        <rFont val="Noto Sans CJK SC"/>
        <family val="2"/>
      </rPr>
      <t xml:space="preserve">的第七个仲裁域。当前单机不受影响，但建议现在就在数据库中为桩预留 </t>
    </r>
    <r>
      <rPr>
        <sz val="10"/>
        <rFont val="Arial"/>
        <family val="0"/>
        <charset val="1"/>
      </rPr>
      <t xml:space="preserve">occupied_by </t>
    </r>
    <r>
      <rPr>
        <sz val="10"/>
        <rFont val="Noto Sans CJK SC"/>
        <family val="2"/>
      </rPr>
      <t xml:space="preserve">字段</t>
    </r>
  </si>
  <si>
    <r>
      <rPr>
        <sz val="10"/>
        <rFont val="Arial"/>
        <family val="0"/>
        <charset val="1"/>
      </rPr>
      <t xml:space="preserve">F11 / 8.6 </t>
    </r>
    <r>
      <rPr>
        <sz val="10"/>
        <rFont val="Noto Sans CJK SC"/>
        <family val="2"/>
      </rPr>
      <t xml:space="preserve">回桩过程的安全约束</t>
    </r>
  </si>
  <si>
    <t xml:space="preserve">CHG-50</t>
  </si>
  <si>
    <t xml:space="preserve">回桩导航路径与普通任务路径同等对待</t>
  </si>
  <si>
    <r>
      <rPr>
        <sz val="10"/>
        <rFont val="Noto Sans CJK SC"/>
        <family val="2"/>
      </rPr>
      <t xml:space="preserve">回桩导航路径与普通任务路径同等对待：全程经过 </t>
    </r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避障、电子围栏裁剪、速度门限制</t>
    </r>
  </si>
  <si>
    <t xml:space="preserve">CHG-51</t>
  </si>
  <si>
    <r>
      <rPr>
        <sz val="10"/>
        <rFont val="Noto Sans CJK SC"/>
        <family val="2"/>
      </rPr>
      <t xml:space="preserve">已作废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本期不做（ </t>
    </r>
    <r>
      <rPr>
        <sz val="10"/>
        <rFont val="Arial"/>
        <family val="0"/>
        <charset val="1"/>
      </rPr>
      <t xml:space="preserve">§0.4a② —— </t>
    </r>
    <r>
      <rPr>
        <sz val="10"/>
        <rFont val="Noto Sans CJK SC"/>
        <family val="2"/>
      </rPr>
      <t xml:space="preserve">被 </t>
    </r>
    <r>
      <rPr>
        <sz val="10"/>
        <rFont val="Arial"/>
        <family val="0"/>
        <charset val="1"/>
      </rPr>
      <t xml:space="preserve">15 low_batt_profile </t>
    </r>
    <r>
      <rPr>
        <sz val="10"/>
        <rFont val="Noto Sans CJK SC"/>
        <family val="2"/>
      </rPr>
      <t xml:space="preserve">缺省 </t>
    </r>
    <r>
      <rPr>
        <sz val="10"/>
        <rFont val="Arial"/>
        <family val="0"/>
        <charset val="1"/>
      </rPr>
      <t xml:space="preserve">null </t>
    </r>
    <r>
      <rPr>
        <sz val="10"/>
        <rFont val="Noto Sans CJK SC"/>
        <family val="2"/>
      </rPr>
      <t xml:space="preserve">取代）</t>
    </r>
  </si>
  <si>
    <r>
      <rPr>
        <sz val="10"/>
        <rFont val="Noto Sans CJK SC"/>
        <family val="2"/>
      </rPr>
      <t xml:space="preserve">已作废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本期不做（ </t>
    </r>
    <r>
      <rPr>
        <sz val="10"/>
        <rFont val="Arial"/>
        <family val="0"/>
        <charset val="1"/>
      </rPr>
      <t xml:space="preserve">§0.4a② —— </t>
    </r>
    <r>
      <rPr>
        <sz val="10"/>
        <rFont val="Noto Sans CJK SC"/>
        <family val="2"/>
      </rPr>
      <t xml:space="preserve">被 </t>
    </r>
    <r>
      <rPr>
        <sz val="10"/>
        <rFont val="Arial"/>
        <family val="0"/>
        <charset val="1"/>
      </rPr>
      <t xml:space="preserve">15 low_batt_profile </t>
    </r>
    <r>
      <rPr>
        <sz val="10"/>
        <rFont val="Noto Sans CJK SC"/>
        <family val="2"/>
      </rPr>
      <t xml:space="preserve">缺省 </t>
    </r>
    <r>
      <rPr>
        <sz val="10"/>
        <rFont val="Arial"/>
        <family val="0"/>
        <charset val="1"/>
      </rPr>
      <t xml:space="preserve">null </t>
    </r>
    <r>
      <rPr>
        <sz val="10"/>
        <rFont val="Noto Sans CJK SC"/>
        <family val="2"/>
      </rPr>
      <t xml:space="preserve">取代）：
 【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后本条风险显著上升，已降级为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不做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】
 为什么：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使可降速幅度从「</t>
    </r>
    <r>
      <rPr>
        <sz val="10"/>
        <rFont val="Arial"/>
        <family val="0"/>
        <charset val="1"/>
      </rPr>
      <t xml:space="preserve">5 → 2 m/s</t>
    </r>
    <r>
      <rPr>
        <sz val="10"/>
        <rFont val="Noto Sans CJK SC"/>
        <family val="2"/>
      </rPr>
      <t xml:space="preserve">」变成「</t>
    </r>
    <r>
      <rPr>
        <sz val="10"/>
        <rFont val="Arial"/>
        <family val="0"/>
        <charset val="1"/>
      </rPr>
      <t xml:space="preserve">2 → 0.5 m/s</t>
    </r>
    <r>
      <rPr>
        <sz val="10"/>
        <rFont val="Noto Sans CJK SC"/>
        <family val="2"/>
      </rPr>
      <t xml:space="preserve">」（慢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倍）—— 四足站立维持功耗在总功耗里的占比被同比放大， 走得更慢很可能反而更耗电（</t>
    </r>
    <r>
      <rPr>
        <sz val="10"/>
        <rFont val="Arial"/>
        <family val="0"/>
        <charset val="1"/>
      </rPr>
      <t xml:space="preserve">Wh/km </t>
    </r>
    <r>
      <rPr>
        <sz val="10"/>
        <rFont val="Noto Sans CJK SC"/>
        <family val="2"/>
      </rPr>
      <t xml:space="preserve">更差），即本条可能适得其反。
 本期处置：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已把 </t>
    </r>
    <r>
      <rPr>
        <sz val="10"/>
        <rFont val="Arial"/>
        <family val="0"/>
        <charset val="1"/>
      </rPr>
      <t xml:space="preserve">low_batt_profile </t>
    </r>
    <r>
      <rPr>
        <sz val="10"/>
        <rFont val="Noto Sans CJK SC"/>
        <family val="2"/>
      </rPr>
      <t xml:space="preserve">缺省改为 </t>
    </r>
    <r>
      <rPr>
        <sz val="10"/>
        <rFont val="Arial"/>
        <family val="0"/>
        <charset val="1"/>
      </rPr>
      <t xml:space="preserve">disabled</t>
    </r>
    <r>
      <rPr>
        <sz val="10"/>
        <rFont val="Noto Sans CJK SC"/>
        <family val="2"/>
      </rPr>
      <t xml:space="preserve">（不降速）（ </t>
    </r>
    <r>
      <rPr>
        <sz val="10"/>
        <rFont val="Arial"/>
        <family val="0"/>
        <charset val="1"/>
      </rPr>
      <t xml:space="preserve">99 U71</t>
    </r>
    <r>
      <rPr>
        <sz val="10"/>
        <rFont val="Noto Sans CJK SC"/>
        <family val="2"/>
      </rPr>
      <t xml:space="preserve">：曾写 </t>
    </r>
    <r>
      <rPr>
        <sz val="10"/>
        <rFont val="Arial"/>
        <family val="0"/>
        <charset val="1"/>
      </rPr>
      <t xml:space="preserve">null</t>
    </r>
    <r>
      <rPr>
        <sz val="10"/>
        <rFont val="Noto Sans CJK SC"/>
        <family val="2"/>
      </rPr>
      <t xml:space="preserve">，因 </t>
    </r>
    <r>
      <rPr>
        <sz val="10"/>
        <rFont val="Arial"/>
        <family val="0"/>
        <charset val="1"/>
      </rPr>
      <t xml:space="preserve">null </t>
    </r>
    <r>
      <rPr>
        <sz val="10"/>
        <rFont val="Noto Sans CJK SC"/>
        <family val="2"/>
      </rPr>
      <t xml:space="preserve">撞断言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订正） —— 不做没有依据的优化。
 判据：</t>
    </r>
    <r>
      <rPr>
        <sz val="10"/>
        <rFont val="Arial"/>
        <family val="0"/>
        <charset val="1"/>
      </rPr>
      <t xml:space="preserve">T-CHG-2 </t>
    </r>
    <r>
      <rPr>
        <sz val="10"/>
        <rFont val="Noto Sans CJK SC"/>
        <family val="2"/>
      </rPr>
      <t xml:space="preserve">测试点须为 </t>
    </r>
    <r>
      <rPr>
        <sz val="10"/>
        <rFont val="Arial"/>
        <family val="0"/>
        <charset val="1"/>
      </rPr>
      <t xml:space="preserve">0.2 / 0.5 / 1.0 / 2.0 m/s</t>
    </r>
    <r>
      <rPr>
        <sz val="10"/>
        <rFont val="Noto Sans CJK SC"/>
        <family val="2"/>
      </rPr>
      <t xml:space="preserve">（ 原写 </t>
    </r>
    <r>
      <rPr>
        <sz val="10"/>
        <rFont val="Arial"/>
        <family val="0"/>
        <charset val="1"/>
      </rPr>
      <t xml:space="preserve">3 / 5 m/s </t>
    </r>
    <r>
      <rPr>
        <sz val="10"/>
        <rFont val="Noto Sans CJK SC"/>
        <family val="2"/>
      </rPr>
      <t xml:space="preserve">已作废），判据是「</t>
    </r>
    <r>
      <rPr>
        <sz val="10"/>
        <rFont val="Arial"/>
        <family val="0"/>
        <charset val="1"/>
      </rPr>
      <t xml:space="preserve">0.5 m/s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Wh/km </t>
    </r>
    <r>
      <rPr>
        <sz val="10"/>
        <rFont val="Noto Sans CJK SC"/>
        <family val="2"/>
      </rPr>
      <t xml:space="preserve">是否真的低于 </t>
    </r>
    <r>
      <rPr>
        <sz val="10"/>
        <rFont val="Arial"/>
        <family val="0"/>
        <charset val="1"/>
      </rPr>
      <t xml:space="preserve">2.0 m/s</t>
    </r>
    <r>
      <rPr>
        <sz val="10"/>
        <rFont val="Noto Sans CJK SC"/>
        <family val="2"/>
      </rPr>
      <t xml:space="preserve">」。 若不是，本条必须作废。
 交叉引用 </t>
    </r>
    <r>
      <rPr>
        <sz val="10"/>
        <rFont val="Arial"/>
        <family val="0"/>
        <charset val="1"/>
      </rPr>
      <t xml:space="preserve">15 Q-P3-20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P1</t>
    </r>
    <r>
      <rPr>
        <sz val="10"/>
        <rFont val="Noto Sans CJK SC"/>
        <family val="2"/>
      </rPr>
      <t xml:space="preserve">）</t>
    </r>
  </si>
  <si>
    <t xml:space="preserve">已作废（本期不做）</t>
  </si>
  <si>
    <r>
      <rPr>
        <sz val="10"/>
        <rFont val="Arial"/>
        <family val="0"/>
        <charset val="1"/>
      </rPr>
      <t xml:space="preserve">F12 / 9.1 </t>
    </r>
    <r>
      <rPr>
        <sz val="10"/>
        <rFont val="Noto Sans CJK SC"/>
        <family val="2"/>
      </rPr>
      <t xml:space="preserve">自检范围</t>
    </r>
  </si>
  <si>
    <t xml:space="preserve">BIT-01</t>
  </si>
  <si>
    <t xml:space="preserve">每次开机执行开机自检，全部项目仔细自检</t>
  </si>
  <si>
    <r>
      <rPr>
        <sz val="10"/>
        <rFont val="Noto Sans CJK SC"/>
        <family val="2"/>
      </rPr>
      <t xml:space="preserve">【真机】冷启动观察自检项、分级、放行与播报，核对 </t>
    </r>
    <r>
      <rPr>
        <sz val="10"/>
        <rFont val="Arial"/>
        <family val="0"/>
        <charset val="1"/>
      </rPr>
      <t xml:space="preserve">health/summary</t>
    </r>
    <r>
      <rPr>
        <sz val="10"/>
        <rFont val="Noto Sans CJK SC"/>
        <family val="2"/>
      </rPr>
      <t xml:space="preserve">。</t>
    </r>
  </si>
  <si>
    <t xml:space="preserve">❌ 快速自检未接线（开机只有问候语）</t>
  </si>
  <si>
    <t xml:space="preserve">BIT-02</t>
  </si>
  <si>
    <t xml:space="preserve">自检项包含（不限于）</t>
  </si>
  <si>
    <t xml:space="preserve">自检项包含（不限于）：</t>
  </si>
  <si>
    <t xml:space="preserve">❌ 同上</t>
  </si>
  <si>
    <t xml:space="preserve">BIT-03</t>
  </si>
  <si>
    <r>
      <rPr>
        <sz val="10"/>
        <rFont val="Noto Sans CJK SC"/>
        <family val="2"/>
      </rPr>
      <t xml:space="preserve">支持全量自检 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播报，也可配置为部分播报</t>
    </r>
  </si>
  <si>
    <r>
      <rPr>
        <sz val="10"/>
        <rFont val="Arial"/>
        <family val="0"/>
        <charset val="1"/>
      </rPr>
      <t xml:space="preserve">F12 / 9.2 </t>
    </r>
    <r>
      <rPr>
        <sz val="10"/>
        <rFont val="Noto Sans CJK SC"/>
        <family val="2"/>
      </rPr>
      <t xml:space="preserve">自检是健康度系统的初始化</t>
    </r>
  </si>
  <si>
    <t xml:space="preserve">BIT-10</t>
  </si>
  <si>
    <t xml:space="preserve">自检不是一次性动作，而是运行时健康度系统的初始状态</t>
  </si>
  <si>
    <t xml:space="preserve">自检不是一次性动作，而是运行时健康度系统的初始状态：</t>
  </si>
  <si>
    <r>
      <rPr>
        <sz val="10"/>
        <rFont val="Noto Sans CJK SC"/>
        <family val="2"/>
      </rPr>
      <t xml:space="preserve">🟡 运行时健康度 </t>
    </r>
    <r>
      <rPr>
        <sz val="10"/>
        <rFont val="Arial"/>
        <family val="0"/>
        <charset val="1"/>
      </rPr>
      <t xml:space="preserve">health/summary </t>
    </r>
    <r>
      <rPr>
        <sz val="10"/>
        <rFont val="Noto Sans CJK SC"/>
        <family val="2"/>
      </rPr>
      <t xml:space="preserve">在发</t>
    </r>
  </si>
  <si>
    <t xml:space="preserve">BIT-11</t>
  </si>
  <si>
    <r>
      <rPr>
        <sz val="10"/>
        <rFont val="Noto Sans CJK SC"/>
        <family val="2"/>
      </rPr>
      <t xml:space="preserve">该机制直接提供 </t>
    </r>
    <r>
      <rPr>
        <sz val="10"/>
        <rFont val="Arial"/>
        <family val="0"/>
        <charset val="1"/>
      </rPr>
      <t xml:space="preserve">NAV-79 </t>
    </r>
    <r>
      <rPr>
        <sz val="10"/>
        <rFont val="Noto Sans CJK SC"/>
        <family val="2"/>
      </rPr>
      <t xml:space="preserve">所需的 </t>
    </r>
    <r>
      <rPr>
        <sz val="10"/>
        <rFont val="Arial"/>
        <family val="0"/>
        <charset val="1"/>
      </rPr>
      <t xml:space="preserve">h(</t>
    </r>
    <r>
      <rPr>
        <sz val="10"/>
        <rFont val="Noto Sans CJK SC"/>
        <family val="2"/>
      </rPr>
      <t xml:space="preserve">传感器健康度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输入，使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感知降级 → 自动降速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成为闭环</t>
    </r>
  </si>
  <si>
    <r>
      <rPr>
        <sz val="10"/>
        <rFont val="Noto Sans CJK SC"/>
        <family val="2"/>
      </rPr>
      <t xml:space="preserve">该机制直接提供 </t>
    </r>
    <r>
      <rPr>
        <sz val="10"/>
        <rFont val="Arial"/>
        <family val="0"/>
        <charset val="1"/>
      </rPr>
      <t xml:space="preserve">NAV-79 </t>
    </r>
    <r>
      <rPr>
        <sz val="10"/>
        <rFont val="Noto Sans CJK SC"/>
        <family val="2"/>
      </rPr>
      <t xml:space="preserve">所需的 </t>
    </r>
    <r>
      <rPr>
        <sz val="10"/>
        <rFont val="Arial"/>
        <family val="0"/>
        <charset val="1"/>
      </rPr>
      <t xml:space="preserve">h(</t>
    </r>
    <r>
      <rPr>
        <sz val="10"/>
        <rFont val="Noto Sans CJK SC"/>
        <family val="2"/>
      </rPr>
      <t xml:space="preserve">传感器健康度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输入，使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感知降级 → 自动降速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成为闭环。自检的数据结构本来就需要存在，因此该项成本几乎为零</t>
    </r>
  </si>
  <si>
    <t xml:space="preserve">BIT-12</t>
  </si>
  <si>
    <t xml:space="preserve">运行时健康度需持续更新，而非仅在开机时评估一次</t>
  </si>
  <si>
    <r>
      <rPr>
        <sz val="10"/>
        <rFont val="Arial"/>
        <family val="0"/>
        <charset val="1"/>
      </rPr>
      <t xml:space="preserve">🟡 health/summary </t>
    </r>
    <r>
      <rPr>
        <sz val="10"/>
        <rFont val="Noto Sans CJK SC"/>
        <family val="2"/>
      </rPr>
      <t xml:space="preserve">持续更新</t>
    </r>
  </si>
  <si>
    <r>
      <rPr>
        <sz val="10"/>
        <rFont val="Arial"/>
        <family val="0"/>
        <charset val="1"/>
      </rPr>
      <t xml:space="preserve">F12 / 9.3 </t>
    </r>
    <r>
      <rPr>
        <sz val="10"/>
        <rFont val="Noto Sans CJK SC"/>
        <family val="2"/>
      </rPr>
      <t xml:space="preserve">自检项分级</t>
    </r>
  </si>
  <si>
    <t xml:space="preserve">BIT-20</t>
  </si>
  <si>
    <t xml:space="preserve">自检项必须分级，不可一视同仁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</si>
  <si>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自检项必须分级，不可一视同仁：</t>
    </r>
  </si>
  <si>
    <t xml:space="preserve">BIT-20a</t>
  </si>
  <si>
    <r>
      <rPr>
        <sz val="10"/>
        <rFont val="Noto Sans CJK SC"/>
        <family val="2"/>
      </rPr>
      <t xml:space="preserve">上表 </t>
    </r>
    <r>
      <rPr>
        <sz val="10"/>
        <rFont val="Arial"/>
        <family val="0"/>
        <charset val="1"/>
      </rPr>
      <t xml:space="preserve">DEGRADED </t>
    </r>
    <r>
      <rPr>
        <sz val="10"/>
        <rFont val="Noto Sans CJK SC"/>
        <family val="2"/>
      </rPr>
      <t xml:space="preserve">举例原写「单侧 </t>
    </r>
    <r>
      <rPr>
        <sz val="10"/>
        <rFont val="Arial"/>
        <family val="0"/>
        <charset val="1"/>
      </rPr>
      <t xml:space="preserve">LiDAR </t>
    </r>
    <r>
      <rPr>
        <sz val="10"/>
        <rFont val="Noto Sans CJK SC"/>
        <family val="2"/>
      </rPr>
      <t xml:space="preserve">故障（限速）」，两个方向都已失效，故改写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</si>
  <si>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订正】上表 </t>
    </r>
    <r>
      <rPr>
        <sz val="10"/>
        <rFont val="Arial"/>
        <family val="0"/>
        <charset val="1"/>
      </rPr>
      <t xml:space="preserve">DEGRADED </t>
    </r>
    <r>
      <rPr>
        <sz val="10"/>
        <rFont val="Noto Sans CJK SC"/>
        <family val="2"/>
      </rPr>
      <t xml:space="preserve">举例原写「单侧 </t>
    </r>
    <r>
      <rPr>
        <sz val="10"/>
        <rFont val="Arial"/>
        <family val="0"/>
        <charset val="1"/>
      </rPr>
      <t xml:space="preserve">LiDAR </t>
    </r>
    <r>
      <rPr>
        <sz val="10"/>
        <rFont val="Noto Sans CJK SC"/>
        <family val="2"/>
      </rPr>
      <t xml:space="preserve">故障（限速）」，两个方向都已失效，故改写：
①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单侧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检测不出来 —— </t>
    </r>
    <r>
      <rPr>
        <sz val="10"/>
        <rFont val="Arial"/>
        <family val="0"/>
        <charset val="1"/>
      </rPr>
      <t xml:space="preserve">§22 #1b </t>
    </r>
    <r>
      <rPr>
        <sz val="10"/>
        <rFont val="Noto Sans CJK SC"/>
        <family val="2"/>
      </rPr>
      <t xml:space="preserve">已登记：前后雷达在底盘 </t>
    </r>
    <r>
      <rPr>
        <sz val="10"/>
        <rFont val="Arial"/>
        <family val="0"/>
        <charset val="1"/>
      </rPr>
      <t xml:space="preserve">rslidar_node </t>
    </r>
    <r>
      <rPr>
        <sz val="10"/>
        <rFont val="Noto Sans CJK SC"/>
        <family val="2"/>
      </rPr>
      <t xml:space="preserve">内合并为一路，方向性信息丢失，健康度并为一项 </t>
    </r>
    <r>
      <rPr>
        <sz val="10"/>
        <rFont val="Arial"/>
        <family val="0"/>
        <charset val="1"/>
      </rPr>
      <t xml:space="preserve">lidar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14 LID-1a/1b</t>
    </r>
    <r>
      <rPr>
        <sz val="10"/>
        <rFont val="Noto Sans CJK SC"/>
        <family val="2"/>
      </rPr>
      <t xml:space="preserve">）⇒ 只能观察到总点数下降，判不出是哪个方向失去覆盖；
② 后果不是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限速</t>
    </r>
    <r>
      <rPr>
        <sz val="10"/>
        <rFont val="Arial"/>
        <family val="0"/>
        <charset val="1"/>
      </rPr>
      <t xml:space="preserve">" —— 11 D-34 </t>
    </r>
    <r>
      <rPr>
        <sz val="10"/>
        <rFont val="Noto Sans CJK SC"/>
        <family val="2"/>
      </rPr>
      <t xml:space="preserve">已取消 </t>
    </r>
    <r>
      <rPr>
        <sz val="10"/>
        <rFont val="Arial"/>
        <family val="0"/>
        <charset val="1"/>
      </rPr>
      <t xml:space="preserve">scan </t>
    </r>
    <r>
      <rPr>
        <sz val="10"/>
        <rFont val="Noto Sans CJK SC"/>
        <family val="2"/>
      </rPr>
      <t xml:space="preserve">超时的强制降档，改为功能禁用（栅格绕障、多方向自由空间判据不可用 ⇒ 相关行为拒绝执行）。
 实现按 ② 执行：</t>
    </r>
    <r>
      <rPr>
        <sz val="10"/>
        <rFont val="Arial"/>
        <family val="0"/>
        <charset val="1"/>
      </rPr>
      <t xml:space="preserve">LiDAR </t>
    </r>
    <r>
      <rPr>
        <sz val="10"/>
        <rFont val="Noto Sans CJK SC"/>
        <family val="2"/>
      </rPr>
      <t xml:space="preserve">健康度 </t>
    </r>
    <r>
      <rPr>
        <sz val="10"/>
        <rFont val="Arial"/>
        <family val="0"/>
        <charset val="1"/>
      </rPr>
      <t xml:space="preserve">degraded ⇒ </t>
    </r>
    <r>
      <rPr>
        <sz val="10"/>
        <rFont val="Noto Sans CJK SC"/>
        <family val="2"/>
      </rPr>
      <t xml:space="preserve">禁用依赖它的功能（</t>
    </r>
    <r>
      <rPr>
        <sz val="10"/>
        <rFont val="Arial"/>
        <family val="0"/>
        <charset val="1"/>
      </rPr>
      <t xml:space="preserve">NAV-31e </t>
    </r>
    <r>
      <rPr>
        <sz val="10"/>
        <rFont val="Noto Sans CJK SC"/>
        <family val="2"/>
      </rPr>
      <t xml:space="preserve">栅格绕障 </t>
    </r>
    <r>
      <rPr>
        <sz val="10"/>
        <rFont val="Arial"/>
        <family val="0"/>
        <charset val="1"/>
      </rPr>
      <t xml:space="preserve">· NAV-123 </t>
    </r>
    <r>
      <rPr>
        <sz val="10"/>
        <rFont val="Noto Sans CJK SC"/>
        <family val="2"/>
      </rPr>
      <t xml:space="preserve">多方向覆盖判据）， 不做隐式限速 —— 速度仍由 </t>
    </r>
    <r>
      <rPr>
        <sz val="10"/>
        <rFont val="Arial"/>
        <family val="0"/>
        <charset val="1"/>
      </rPr>
      <t xml:space="preserve">f(d_free) </t>
    </r>
    <r>
      <rPr>
        <sz val="10"/>
        <rFont val="Noto Sans CJK SC"/>
        <family val="2"/>
      </rPr>
      <t xml:space="preserve">按 </t>
    </r>
    <r>
      <rPr>
        <sz val="10"/>
        <rFont val="Arial"/>
        <family val="0"/>
        <charset val="1"/>
      </rPr>
      <t xml:space="preserve">336L </t>
    </r>
    <r>
      <rPr>
        <sz val="10"/>
        <rFont val="Noto Sans CJK SC"/>
        <family val="2"/>
      </rPr>
      <t xml:space="preserve">的自由空间裁决</t>
    </r>
  </si>
  <si>
    <t xml:space="preserve">BIT-21</t>
  </si>
  <si>
    <t xml:space="preserve">不分级会导致两种失败</t>
  </si>
  <si>
    <r>
      <rPr>
        <sz val="10"/>
        <rFont val="Noto Sans CJK SC"/>
        <family val="2"/>
      </rPr>
      <t xml:space="preserve">正式需求（原【建议】，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结账）：不分级会导致两种失败：要么任何小故障都禁止运动（现场无法使用），要么关键项失败仍允许运行（危险）⇒ 必须分级。 本条是 </t>
    </r>
    <r>
      <rPr>
        <sz val="10"/>
        <rFont val="Arial"/>
        <family val="0"/>
        <charset val="1"/>
      </rPr>
      <t xml:space="preserve">BIT-20 </t>
    </r>
    <r>
      <rPr>
        <sz val="10"/>
        <rFont val="Noto Sans CJK SC"/>
        <family val="2"/>
      </rPr>
      <t xml:space="preserve">的理由，与之同判</t>
    </r>
  </si>
  <si>
    <t xml:space="preserve">BIT-22</t>
  </si>
  <si>
    <r>
      <rPr>
        <sz val="10"/>
        <rFont val="Arial"/>
        <family val="0"/>
        <charset val="1"/>
      </rPr>
      <t xml:space="preserve">DEGRADED </t>
    </r>
    <r>
      <rPr>
        <sz val="10"/>
        <rFont val="Noto Sans CJK SC"/>
        <family val="2"/>
      </rPr>
      <t xml:space="preserve">项的失败必须反映到速度门 </t>
    </r>
    <r>
      <rPr>
        <sz val="10"/>
        <rFont val="Arial"/>
        <family val="0"/>
        <charset val="1"/>
      </rPr>
      <t xml:space="preserve">h(</t>
    </r>
    <r>
      <rPr>
        <sz val="10"/>
        <rFont val="Noto Sans CJK SC"/>
        <family val="2"/>
      </rPr>
      <t xml:space="preserve">传感器健康度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与功能可用性上，而不仅是记录一条日志</t>
    </r>
  </si>
  <si>
    <r>
      <rPr>
        <sz val="10"/>
        <rFont val="Noto Sans CJK SC"/>
        <family val="2"/>
      </rPr>
      <t xml:space="preserve">正式需求（原【建议】，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结账）：</t>
    </r>
    <r>
      <rPr>
        <sz val="10"/>
        <rFont val="Arial"/>
        <family val="0"/>
        <charset val="1"/>
      </rPr>
      <t xml:space="preserve">DEGRADED </t>
    </r>
    <r>
      <rPr>
        <sz val="10"/>
        <rFont val="Noto Sans CJK SC"/>
        <family val="2"/>
      </rPr>
      <t xml:space="preserve">项的失败必须反映到速度门 </t>
    </r>
    <r>
      <rPr>
        <sz val="10"/>
        <rFont val="Arial"/>
        <family val="0"/>
        <charset val="1"/>
      </rPr>
      <t xml:space="preserve">h(</t>
    </r>
    <r>
      <rPr>
        <sz val="10"/>
        <rFont val="Noto Sans CJK SC"/>
        <family val="2"/>
      </rPr>
      <t xml:space="preserve">传感器健康度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与功能可用性上，而不仅是记录一条日志。 落点：</t>
    </r>
    <r>
      <rPr>
        <sz val="10"/>
        <rFont val="Arial"/>
        <family val="0"/>
        <charset val="1"/>
      </rPr>
      <t xml:space="preserve">BIT-11 → NAV-79 → 11 §9.6 h()</t>
    </r>
  </si>
  <si>
    <r>
      <rPr>
        <sz val="10"/>
        <rFont val="Arial"/>
        <family val="0"/>
        <charset val="1"/>
      </rPr>
      <t xml:space="preserve">F12 / 9.4 </t>
    </r>
    <r>
      <rPr>
        <sz val="10"/>
        <rFont val="Noto Sans CJK SC"/>
        <family val="2"/>
      </rPr>
      <t xml:space="preserve">自检的执行</t>
    </r>
  </si>
  <si>
    <t xml:space="preserve">BIT-30</t>
  </si>
  <si>
    <t xml:space="preserve">区分快速自检与深度自检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</si>
  <si>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区分快速自检与深度自检：
快速自检（开机默认）—— 读状态位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心跳，秒级完成
深度自检（手动触发或定期）—— 实际动作验证（</t>
    </r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转动、载荷点亮、喇叭出声），可能耗时数十秒
理由：</t>
    </r>
    <r>
      <rPr>
        <sz val="10"/>
        <rFont val="Arial"/>
        <family val="0"/>
        <charset val="1"/>
      </rPr>
      <t xml:space="preserve">NFR </t>
    </r>
    <r>
      <rPr>
        <sz val="10"/>
        <rFont val="Noto Sans CJK SC"/>
        <family val="2"/>
      </rPr>
      <t xml:space="preserve">冷启动到可接管预算为 </t>
    </r>
    <r>
      <rPr>
        <sz val="10"/>
        <rFont val="Arial"/>
        <family val="0"/>
        <charset val="1"/>
      </rPr>
      <t xml:space="preserve">60 s</t>
    </r>
    <r>
      <rPr>
        <sz val="10"/>
        <rFont val="Noto Sans CJK SC"/>
        <family val="2"/>
      </rPr>
      <t xml:space="preserve">，十余项全做动作验证会远超预算</t>
    </r>
  </si>
  <si>
    <r>
      <rPr>
        <sz val="10"/>
        <rFont val="Noto Sans CJK SC"/>
        <family val="2"/>
      </rPr>
      <t xml:space="preserve">❌ 快速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深度自检未接线</t>
    </r>
  </si>
  <si>
    <t xml:space="preserve">BIT-31</t>
  </si>
  <si>
    <r>
      <rPr>
        <sz val="10"/>
        <rFont val="Arial"/>
        <family val="0"/>
        <charset val="1"/>
      </rPr>
      <t xml:space="preserve">GPU / CUDA / DLA </t>
    </r>
    <r>
      <rPr>
        <sz val="10"/>
        <rFont val="Noto Sans CJK SC"/>
        <family val="2"/>
      </rPr>
      <t xml:space="preserve">自检必须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真跑一次</t>
    </r>
    <r>
      <rPr>
        <sz val="10"/>
        <rFont val="Arial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</si>
  <si>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</t>
    </r>
    <r>
      <rPr>
        <sz val="10"/>
        <rFont val="Arial"/>
        <family val="0"/>
        <charset val="1"/>
      </rPr>
      <t xml:space="preserve">GPU / CUDA / DLA </t>
    </r>
    <r>
      <rPr>
        <sz val="10"/>
        <rFont val="Noto Sans CJK SC"/>
        <family val="2"/>
      </rPr>
      <t xml:space="preserve">自检必须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真跑一次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：仅检查驱动可返回是不够的。应加载 </t>
    </r>
    <r>
      <rPr>
        <sz val="10"/>
        <rFont val="Arial"/>
        <family val="0"/>
        <charset val="1"/>
      </rPr>
      <t xml:space="preserve">TensorRT engine + </t>
    </r>
    <r>
      <rPr>
        <sz val="10"/>
        <rFont val="Noto Sans CJK SC"/>
        <family val="2"/>
      </rPr>
      <t xml:space="preserve">推理一帧固定输入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校验输出符合预期，可一次性覆盖驱动、显存、</t>
    </r>
    <r>
      <rPr>
        <sz val="10"/>
        <rFont val="Arial"/>
        <family val="0"/>
        <charset val="1"/>
      </rPr>
      <t xml:space="preserve">engine </t>
    </r>
    <r>
      <rPr>
        <sz val="10"/>
        <rFont val="Noto Sans CJK SC"/>
        <family val="2"/>
      </rPr>
      <t xml:space="preserve">完整性、模型文件损坏四类问题</t>
    </r>
  </si>
  <si>
    <t xml:space="preserve">❌</t>
  </si>
  <si>
    <t xml:space="preserve">BIT-32</t>
  </si>
  <si>
    <t xml:space="preserve">云台自检只能验证「命令通道可用」，不能验证「动作已完成」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</si>
  <si>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v0.5 </t>
    </r>
    <r>
      <rPr>
        <sz val="10"/>
        <rFont val="Noto Sans CJK SC"/>
        <family val="2"/>
      </rPr>
      <t xml:space="preserve">重写】云台自检只能验证「命令通道可用」，不能验证「动作已完成」。 三个可真正验证的子项：
① </t>
    </r>
    <r>
      <rPr>
        <sz val="10"/>
        <rFont val="Arial"/>
        <family val="0"/>
        <charset val="1"/>
      </rPr>
      <t xml:space="preserve">LAPI </t>
    </r>
    <r>
      <rPr>
        <sz val="10"/>
        <rFont val="Noto Sans CJK SC"/>
        <family val="2"/>
      </rPr>
      <t xml:space="preserve">可达且能读回 </t>
    </r>
    <r>
      <rPr>
        <sz val="10"/>
        <rFont val="Arial"/>
        <family val="0"/>
        <charset val="1"/>
      </rPr>
      <t xml:space="preserve">Capabilities</t>
    </r>
    <r>
      <rPr>
        <sz val="10"/>
        <rFont val="Noto Sans CJK SC"/>
        <family val="2"/>
      </rPr>
      <t xml:space="preserve">（ 唯一有真实回读的一项，最可信）；
② </t>
    </r>
    <r>
      <rPr>
        <sz val="10"/>
        <rFont val="Arial"/>
        <family val="0"/>
        <charset val="1"/>
      </rPr>
      <t xml:space="preserve">ONVIF ContinuousMove + Stop </t>
    </r>
    <r>
      <rPr>
        <sz val="10"/>
        <rFont val="Noto Sans CJK SC"/>
        <family val="2"/>
      </rPr>
      <t xml:space="preserve">被接受（</t>
    </r>
    <r>
      <rPr>
        <sz val="10"/>
        <rFont val="Arial"/>
        <family val="0"/>
        <charset val="1"/>
      </rPr>
      <t xml:space="preserve">HTTP 200 </t>
    </r>
    <r>
      <rPr>
        <sz val="10"/>
        <rFont val="Noto Sans CJK SC"/>
        <family val="2"/>
      </rPr>
      <t xml:space="preserve">且 </t>
    </r>
    <r>
      <rPr>
        <sz val="10"/>
        <rFont val="Arial"/>
        <family val="0"/>
        <charset val="1"/>
      </rPr>
      <t xml:space="preserve">WS-Security </t>
    </r>
    <r>
      <rPr>
        <sz val="10"/>
        <rFont val="Noto Sans CJK SC"/>
        <family val="2"/>
      </rPr>
      <t xml:space="preserve">通过）；
③ </t>
    </r>
    <r>
      <rPr>
        <sz val="10"/>
        <rFont val="Arial"/>
        <family val="0"/>
        <charset val="1"/>
      </rPr>
      <t xml:space="preserve">goto_preset </t>
    </r>
    <r>
      <rPr>
        <sz val="10"/>
        <rFont val="Noto Sans CJK SC"/>
        <family val="2"/>
      </rPr>
      <t xml:space="preserve">被接受。
 明确不做：不校验位置、不校验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是否真的归零了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、不做两次归零的重复性比对 —— 因为位置读不出来（</t>
    </r>
    <r>
      <rPr>
        <sz val="10"/>
        <rFont val="Arial"/>
        <family val="0"/>
        <charset val="1"/>
      </rPr>
      <t xml:space="preserve">PAY-32②</t>
    </r>
    <r>
      <rPr>
        <sz val="10"/>
        <rFont val="Noto Sans CJK SC"/>
        <family val="2"/>
      </rPr>
      <t xml:space="preserve">）。
 分级：</t>
    </r>
    <r>
      <rPr>
        <sz val="10"/>
        <rFont val="Arial"/>
        <family val="0"/>
        <charset val="1"/>
      </rPr>
      <t xml:space="preserve">DEGRADED</t>
    </r>
    <r>
      <rPr>
        <sz val="10"/>
        <rFont val="Noto Sans CJK SC"/>
        <family val="2"/>
      </rPr>
      <t xml:space="preserve">（云台不可用 → 不能观察但能巡逻，与 </t>
    </r>
    <r>
      <rPr>
        <sz val="10"/>
        <rFont val="Arial"/>
        <family val="0"/>
        <charset val="1"/>
      </rPr>
      <t xml:space="preserve">BIT-20 </t>
    </r>
    <r>
      <rPr>
        <sz val="10"/>
        <rFont val="Noto Sans CJK SC"/>
        <family val="2"/>
      </rPr>
      <t xml:space="preserve">一致）； </t>
    </r>
    <r>
      <rPr>
        <sz val="10"/>
        <rFont val="Arial"/>
        <family val="0"/>
        <charset val="1"/>
      </rPr>
      <t xml:space="preserve">T-PTZ-1 </t>
    </r>
    <r>
      <rPr>
        <sz val="10"/>
        <rFont val="Noto Sans CJK SC"/>
        <family val="2"/>
      </rPr>
      <t xml:space="preserve">未闭前，子项 ③ 判定为 </t>
    </r>
    <r>
      <rPr>
        <sz val="10"/>
        <rFont val="Arial"/>
        <family val="0"/>
        <charset val="1"/>
      </rPr>
      <t xml:space="preserve">WARN</t>
    </r>
    <r>
      <rPr>
        <sz val="10"/>
        <rFont val="Noto Sans CJK SC"/>
        <family val="2"/>
      </rPr>
      <t xml:space="preserve">，不得阻塞放行</t>
    </r>
  </si>
  <si>
    <t xml:space="preserve">BIT-33</t>
  </si>
  <si>
    <t xml:space="preserve">自检必须先于任何可能产生运动的模块激活</t>
  </si>
  <si>
    <r>
      <rPr>
        <sz val="10"/>
        <rFont val="Noto Sans CJK SC"/>
        <family val="2"/>
      </rPr>
      <t xml:space="preserve">正式需求（原【建议】，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结账）：自检必须先于任何可能产生运动的模块激活；自检未通过时系统停在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禁止运动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状态，由自检结果主动放行。 落点：</t>
    </r>
    <r>
      <rPr>
        <sz val="10"/>
        <rFont val="Arial"/>
        <family val="0"/>
        <charset val="1"/>
      </rPr>
      <t xml:space="preserve">14 §9 </t>
    </r>
    <r>
      <rPr>
        <sz val="10"/>
        <rFont val="Noto Sans CJK SC"/>
        <family val="2"/>
      </rPr>
      <t xml:space="preserve">启动阶段机（</t>
    </r>
    <r>
      <rPr>
        <sz val="10"/>
        <rFont val="Arial"/>
        <family val="0"/>
        <charset val="1"/>
      </rPr>
      <t xml:space="preserve">BIT → GRANT</t>
    </r>
    <r>
      <rPr>
        <sz val="10"/>
        <rFont val="Noto Sans CJK SC"/>
        <family val="2"/>
      </rPr>
      <t xml:space="preserve">）</t>
    </r>
  </si>
  <si>
    <t xml:space="preserve">❌ 自检放行未实现</t>
  </si>
  <si>
    <t xml:space="preserve">BIT-34</t>
  </si>
  <si>
    <t xml:space="preserve">布控球开机初始化自检（这一项是可以真做的）</t>
  </si>
  <si>
    <r>
      <rPr>
        <sz val="10"/>
        <rFont val="Noto Sans CJK SC"/>
        <family val="2"/>
      </rPr>
      <t xml:space="preserve">【新增】布控球开机初始化自检（这一项是可以真做的）：开机时用 </t>
    </r>
    <r>
      <rPr>
        <sz val="10"/>
        <rFont val="Arial"/>
        <family val="0"/>
        <charset val="1"/>
      </rPr>
      <t xml:space="preserve">LAPI </t>
    </r>
    <r>
      <rPr>
        <sz val="10"/>
        <rFont val="Noto Sans CJK SC"/>
        <family val="2"/>
      </rPr>
      <t xml:space="preserve">把四项写成已知态并逐项回读确认 —— ① </t>
    </r>
    <r>
      <rPr>
        <sz val="10"/>
        <rFont val="Arial"/>
        <family val="0"/>
        <charset val="1"/>
      </rPr>
      <t xml:space="preserve">FocusMode=2</t>
    </r>
    <r>
      <rPr>
        <sz val="10"/>
        <rFont val="Noto Sans CJK SC"/>
        <family val="2"/>
      </rPr>
      <t xml:space="preserve">（自动对焦，</t>
    </r>
    <r>
      <rPr>
        <sz val="10"/>
        <rFont val="Arial"/>
        <family val="0"/>
        <charset val="1"/>
      </rPr>
      <t xml:space="preserve">PAY-36②</t>
    </r>
    <r>
      <rPr>
        <sz val="10"/>
        <rFont val="Noto Sans CJK SC"/>
        <family val="2"/>
      </rPr>
      <t xml:space="preserve">）② </t>
    </r>
    <r>
      <rPr>
        <sz val="10"/>
        <rFont val="Arial"/>
        <family val="0"/>
        <charset val="1"/>
      </rPr>
      <t xml:space="preserve">ShieldTrigger.MovePTZ=1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PAY-36①</t>
    </r>
    <r>
      <rPr>
        <sz val="10"/>
        <rFont val="Noto Sans CJK SC"/>
        <family val="2"/>
      </rPr>
      <t xml:space="preserve">）③ 码率基线 ④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间隔基线（ </t>
    </r>
    <r>
      <rPr>
        <sz val="10"/>
        <rFont val="Arial"/>
        <family val="0"/>
        <charset val="1"/>
      </rPr>
      <t xml:space="preserve">2026-08-05 </t>
    </r>
    <r>
      <rPr>
        <sz val="10"/>
        <rFont val="Noto Sans CJK SC"/>
        <family val="2"/>
      </rPr>
      <t xml:space="preserve">起码率与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间隔只有基线这一个档，见 </t>
    </r>
    <r>
      <rPr>
        <sz val="10"/>
        <rFont val="Arial"/>
        <family val="0"/>
        <charset val="1"/>
      </rPr>
      <t xml:space="preserve">PAY-35</t>
    </r>
    <r>
      <rPr>
        <sz val="10"/>
        <rFont val="Noto Sans CJK SC"/>
        <family val="2"/>
      </rPr>
      <t xml:space="preserve">）。
 为什么这项可信：</t>
    </r>
    <r>
      <rPr>
        <sz val="10"/>
        <rFont val="Arial"/>
        <family val="0"/>
        <charset val="1"/>
      </rPr>
      <t xml:space="preserve">LAPI </t>
    </r>
    <r>
      <rPr>
        <sz val="10"/>
        <rFont val="Noto Sans CJK SC"/>
        <family val="2"/>
      </rPr>
      <t xml:space="preserve">的这四项有真实回读，写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读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比对闭环成立。
 分级 </t>
    </r>
    <r>
      <rPr>
        <sz val="10"/>
        <rFont val="Arial"/>
        <family val="0"/>
        <charset val="1"/>
      </rPr>
      <t xml:space="preserve">DEGRADED</t>
    </r>
    <r>
      <rPr>
        <sz val="10"/>
        <rFont val="Noto Sans CJK SC"/>
        <family val="2"/>
      </rPr>
      <t xml:space="preserve">； 失败应告警并告知操作员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码率</t>
    </r>
    <r>
      <rPr>
        <sz val="10"/>
        <rFont val="Arial"/>
        <family val="0"/>
        <charset val="1"/>
      </rPr>
      <t xml:space="preserve">/I </t>
    </r>
    <r>
      <rPr>
        <sz val="10"/>
        <rFont val="Noto Sans CJK SC"/>
        <family val="2"/>
      </rPr>
      <t xml:space="preserve">间隔不在基线，摇摄会更花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。
 </t>
    </r>
    <r>
      <rPr>
        <sz val="10"/>
        <rFont val="Arial"/>
        <family val="0"/>
        <charset val="1"/>
      </rPr>
      <t xml:space="preserve">2026-08-05 </t>
    </r>
    <r>
      <rPr>
        <sz val="10"/>
        <rFont val="Noto Sans CJK SC"/>
        <family val="2"/>
      </rPr>
      <t xml:space="preserve">订正：末句原写「失败则禁用码率联动（</t>
    </r>
    <r>
      <rPr>
        <sz val="10"/>
        <rFont val="Arial"/>
        <family val="0"/>
        <charset val="1"/>
      </rPr>
      <t xml:space="preserve">PAY-35</t>
    </r>
    <r>
      <rPr>
        <sz val="10"/>
        <rFont val="Noto Sans CJK SC"/>
        <family val="2"/>
      </rPr>
      <t xml:space="preserve">）并告知操作员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摇摄会花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」—— 云台码率控制已取消，无联动可禁用 ⇒ 该从句删除。
 但 ③④ 两项必须保留 —— 删掉 </t>
    </r>
    <r>
      <rPr>
        <sz val="10"/>
        <rFont val="Arial"/>
        <family val="0"/>
        <charset val="1"/>
      </rPr>
      <t xml:space="preserve">14 §4.4.3 BR-4 </t>
    </r>
    <r>
      <rPr>
        <sz val="10"/>
        <rFont val="Noto Sans CJK SC"/>
        <family val="2"/>
      </rPr>
      <t xml:space="preserve">的启动幂等复位后，</t>
    </r>
    <r>
      <rPr>
        <sz val="10"/>
        <rFont val="Arial"/>
        <family val="0"/>
        <charset val="1"/>
      </rPr>
      <t xml:space="preserve">BIT-34 ③④ </t>
    </r>
    <r>
      <rPr>
        <sz val="10"/>
        <rFont val="Noto Sans CJK SC"/>
        <family val="2"/>
      </rPr>
      <t xml:space="preserve">是唯一还能发现「相机被人从 </t>
    </r>
    <r>
      <rPr>
        <sz val="10"/>
        <rFont val="Arial"/>
        <family val="0"/>
        <charset val="1"/>
      </rPr>
      <t xml:space="preserve">Web </t>
    </r>
    <r>
      <rPr>
        <sz val="10"/>
        <rFont val="Noto Sans CJK SC"/>
        <family val="2"/>
      </rPr>
      <t xml:space="preserve">页留在 </t>
    </r>
    <r>
      <rPr>
        <sz val="10"/>
        <rFont val="Arial"/>
        <family val="0"/>
        <charset val="1"/>
      </rPr>
      <t xml:space="preserve">16384 kbps</t>
    </r>
    <r>
      <rPr>
        <sz val="10"/>
        <rFont val="Noto Sans CJK SC"/>
        <family val="2"/>
      </rPr>
      <t xml:space="preserve">」的机制</t>
    </r>
  </si>
  <si>
    <r>
      <rPr>
        <sz val="10"/>
        <rFont val="Arial"/>
        <family val="0"/>
        <charset val="1"/>
      </rPr>
      <t xml:space="preserve">🟡 p2 </t>
    </r>
    <r>
      <rPr>
        <sz val="10"/>
        <rFont val="Noto Sans CJK SC"/>
        <family val="2"/>
      </rPr>
      <t xml:space="preserve">启动做对焦初始化（</t>
    </r>
    <r>
      <rPr>
        <sz val="10"/>
        <rFont val="Arial"/>
        <family val="0"/>
        <charset val="1"/>
      </rPr>
      <t xml:space="preserve">U98</t>
    </r>
    <r>
      <rPr>
        <sz val="10"/>
        <rFont val="Noto Sans CJK SC"/>
        <family val="2"/>
      </rPr>
      <t xml:space="preserve">），其余项未做</t>
    </r>
  </si>
  <si>
    <t xml:space="preserve">BIT-35</t>
  </si>
  <si>
    <r>
      <rPr>
        <sz val="10"/>
        <rFont val="Noto Sans CJK SC"/>
        <family val="2"/>
      </rPr>
      <t xml:space="preserve">红外相机自检 待实测（</t>
    </r>
    <r>
      <rPr>
        <sz val="10"/>
        <rFont val="Arial"/>
        <family val="0"/>
        <charset val="1"/>
      </rPr>
      <t xml:space="preserve">T-PTZ-2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</si>
  <si>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红外相机自检 待实测（</t>
    </r>
    <r>
      <rPr>
        <sz val="10"/>
        <rFont val="Arial"/>
        <family val="0"/>
        <charset val="1"/>
      </rPr>
      <t xml:space="preserve">T-PTZ-2</t>
    </r>
    <r>
      <rPr>
        <sz val="10"/>
        <rFont val="Noto Sans CJK SC"/>
        <family val="2"/>
      </rPr>
      <t xml:space="preserve">）：在确认红外侧接口与能力集之前，红外仅做连通性 </t>
    </r>
    <r>
      <rPr>
        <sz val="10"/>
        <rFont val="Arial"/>
        <family val="0"/>
        <charset val="1"/>
      </rPr>
      <t xml:space="preserve">+ RTSP </t>
    </r>
    <r>
      <rPr>
        <sz val="10"/>
        <rFont val="Noto Sans CJK SC"/>
        <family val="2"/>
      </rPr>
      <t xml:space="preserve">可拉流两项，不做参数写入（避免对未知接口做副作用操作）。 分级 </t>
    </r>
    <r>
      <rPr>
        <sz val="10"/>
        <rFont val="Arial"/>
        <family val="0"/>
        <charset val="1"/>
      </rPr>
      <t xml:space="preserve">DEGRADED</t>
    </r>
    <r>
      <rPr>
        <sz val="10"/>
        <rFont val="Noto Sans CJK SC"/>
        <family val="2"/>
      </rPr>
      <t xml:space="preserve">。
 </t>
    </r>
    <r>
      <rPr>
        <sz val="10"/>
        <rFont val="Arial"/>
        <family val="0"/>
        <charset val="1"/>
      </rPr>
      <t xml:space="preserve">2026-08-05 </t>
    </r>
    <r>
      <rPr>
        <sz val="10"/>
        <rFont val="Noto Sans CJK SC"/>
        <family val="2"/>
      </rPr>
      <t xml:space="preserve">收口裁决（</t>
    </r>
    <r>
      <rPr>
        <sz val="10"/>
        <rFont val="Arial"/>
        <family val="0"/>
        <charset val="1"/>
      </rPr>
      <t xml:space="preserve">S4</t>
    </r>
    <r>
      <rPr>
        <sz val="10"/>
        <rFont val="Noto Sans CJK SC"/>
        <family val="2"/>
      </rPr>
      <t xml:space="preserve">）—— 原句「分级 </t>
    </r>
    <r>
      <rPr>
        <sz val="10"/>
        <rFont val="Arial"/>
        <family val="0"/>
        <charset val="1"/>
      </rPr>
      <t xml:space="preserve">DEGRADED</t>
    </r>
    <r>
      <rPr>
        <sz val="10"/>
        <rFont val="Noto Sans CJK SC"/>
        <family val="2"/>
      </rPr>
      <t xml:space="preserve">」【指代不明】， 原句不删，本轮就地定死四件事
　① 分级归属：</t>
    </r>
    <r>
      <rPr>
        <sz val="10"/>
        <rFont val="Arial"/>
        <family val="0"/>
        <charset val="1"/>
      </rPr>
      <t xml:space="preserve">DEGRADED </t>
    </r>
    <r>
      <rPr>
        <sz val="10"/>
        <rFont val="Noto Sans CJK SC"/>
        <family val="2"/>
      </rPr>
      <t xml:space="preserve">只回答三问中的第 ① 问 —— </t>
    </r>
    <r>
      <rPr>
        <sz val="10"/>
        <rFont val="Arial"/>
        <family val="0"/>
        <charset val="1"/>
      </rPr>
      <t xml:space="preserve">11 §5.1A </t>
    </r>
    <r>
      <rPr>
        <sz val="10"/>
        <rFont val="Noto Sans CJK SC"/>
        <family val="2"/>
      </rPr>
      <t xml:space="preserve">已把 </t>
    </r>
    <r>
      <rPr>
        <sz val="10"/>
        <rFont val="Arial"/>
        <family val="0"/>
        <charset val="1"/>
      </rPr>
      <t xml:space="preserve">level </t>
    </r>
    <r>
      <rPr>
        <sz val="10"/>
        <rFont val="Noto Sans CJK SC"/>
        <family val="2"/>
      </rPr>
      <t xml:space="preserve">一列拆成三列三问（逐字锚点，可 </t>
    </r>
    <r>
      <rPr>
        <sz val="10"/>
        <rFont val="Arial"/>
        <family val="0"/>
        <charset val="1"/>
      </rPr>
      <t xml:space="preserve">grep -F</t>
    </r>
    <r>
      <rPr>
        <sz val="10"/>
        <rFont val="Noto Sans CJK SC"/>
        <family val="2"/>
      </rPr>
      <t xml:space="preserve">：三列为什么必须分开）：① 开机 </t>
    </r>
    <r>
      <rPr>
        <sz val="10"/>
        <rFont val="Arial"/>
        <family val="0"/>
        <charset val="1"/>
      </rPr>
      <t xml:space="preserve">BIT </t>
    </r>
    <r>
      <rPr>
        <sz val="10"/>
        <rFont val="Noto Sans CJK SC"/>
        <family val="2"/>
      </rPr>
      <t xml:space="preserve">要不要放行？② 运行中要不要折减速度？③ 运行中要不要直接零速？ </t>
    </r>
    <r>
      <rPr>
        <sz val="10"/>
        <rFont val="Arial"/>
        <family val="0"/>
        <charset val="1"/>
      </rPr>
      <t xml:space="preserve">BIT-35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DEGRADED </t>
    </r>
    <r>
      <rPr>
        <sz val="10"/>
        <rFont val="Noto Sans CJK SC"/>
        <family val="2"/>
      </rPr>
      <t xml:space="preserve">只回答第 ①， 不计入 </t>
    </r>
    <r>
      <rPr>
        <sz val="10"/>
        <rFont val="Arial"/>
        <family val="0"/>
        <charset val="1"/>
      </rPr>
      <t xml:space="preserve">speed_factor</t>
    </r>
    <r>
      <rPr>
        <sz val="10"/>
        <rFont val="Noto Sans CJK SC"/>
        <family val="2"/>
      </rPr>
      <t xml:space="preserve">、 不驱动 </t>
    </r>
    <r>
      <rPr>
        <sz val="10"/>
        <rFont val="Arial"/>
        <family val="0"/>
        <charset val="1"/>
      </rPr>
      <t xml:space="preserve">allow_motion = false</t>
    </r>
    <r>
      <rPr>
        <sz val="10"/>
        <rFont val="Noto Sans CJK SC"/>
        <family val="2"/>
      </rPr>
      <t xml:space="preserve">。 理由：红外相机与「走多快」「会不会撞人」零关系；</t>
    </r>
    <r>
      <rPr>
        <sz val="10"/>
        <rFont val="Arial"/>
        <family val="0"/>
        <charset val="1"/>
      </rPr>
      <t xml:space="preserve">11 §5.1A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行已对同一形态作过同一判断（那一行第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列「计入 </t>
    </r>
    <r>
      <rPr>
        <sz val="10"/>
        <rFont val="Arial"/>
        <family val="0"/>
        <charset val="1"/>
      </rPr>
      <t xml:space="preserve">speed_factor</t>
    </r>
    <r>
      <rPr>
        <sz val="10"/>
        <rFont val="Noto Sans CJK SC"/>
        <family val="2"/>
      </rPr>
      <t xml:space="preserve">」逐字为「否」，第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列「</t>
    </r>
    <r>
      <rPr>
        <sz val="10"/>
        <rFont val="Arial"/>
        <family val="0"/>
        <charset val="1"/>
      </rPr>
      <t xml:space="preserve">fail </t>
    </r>
    <r>
      <rPr>
        <sz val="10"/>
        <rFont val="Noto Sans CJK SC"/>
        <family val="2"/>
      </rPr>
      <t xml:space="preserve">驱动 </t>
    </r>
    <r>
      <rPr>
        <sz val="10"/>
        <rFont val="Arial"/>
        <family val="0"/>
        <charset val="1"/>
      </rPr>
      <t xml:space="preserve">allow_motion=false</t>
    </r>
    <r>
      <rPr>
        <sz val="10"/>
        <rFont val="Noto Sans CJK SC"/>
        <family val="2"/>
      </rPr>
      <t xml:space="preserve">」逐字为「—」； </t>
    </r>
    <r>
      <rPr>
        <sz val="10"/>
        <rFont val="Arial"/>
        <family val="0"/>
        <charset val="1"/>
      </rPr>
      <t xml:space="preserve">2026-08-05 </t>
    </r>
    <r>
      <rPr>
        <sz val="10"/>
        <rFont val="Noto Sans CJK SC"/>
        <family val="2"/>
      </rPr>
      <t xml:space="preserve">对抗验收订正 —— 原写「两列均为『否』」与表体字面不符：— 是该表 </t>
    </r>
    <r>
      <rPr>
        <sz val="10"/>
        <rFont val="Arial"/>
        <family val="0"/>
        <charset val="1"/>
      </rPr>
      <t xml:space="preserve">degraded </t>
    </r>
    <r>
      <rPr>
        <sz val="10"/>
        <rFont val="Noto Sans CJK SC"/>
        <family val="2"/>
      </rPr>
      <t xml:space="preserve">族的「不适用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不驱动」写法，同表 </t>
    </r>
    <r>
      <rPr>
        <sz val="10"/>
        <rFont val="Arial"/>
        <family val="0"/>
        <charset val="1"/>
      </rPr>
      <t xml:space="preserve">lidar </t>
    </r>
    <r>
      <rPr>
        <sz val="10"/>
        <rFont val="Noto Sans CJK SC"/>
        <family val="2"/>
      </rPr>
      <t xml:space="preserve">行就地注明「不驱动 </t>
    </r>
    <r>
      <rPr>
        <sz val="10"/>
        <rFont val="Arial"/>
        <family val="0"/>
        <charset val="1"/>
      </rPr>
      <t xml:space="preserve">allow_motion</t>
    </r>
    <r>
      <rPr>
        <sz val="10"/>
        <rFont val="Noto Sans CJK SC"/>
        <family val="2"/>
      </rPr>
      <t xml:space="preserve">」， 不得把 — 复述成「否」； 两列语义结论不变，故本条 ① 的裁决不受影响）。
　② 红外相机缺失【不阻塞出勤】 —— 不进 </t>
    </r>
    <r>
      <rPr>
        <sz val="10"/>
        <rFont val="Arial"/>
        <family val="0"/>
        <charset val="1"/>
      </rPr>
      <t xml:space="preserve">BLOCKED</t>
    </r>
    <r>
      <rPr>
        <sz val="10"/>
        <rFont val="Noto Sans CJK SC"/>
        <family val="2"/>
      </rPr>
      <t xml:space="preserve">、不拦放行。 判据直接取 </t>
    </r>
    <r>
      <rPr>
        <sz val="10"/>
        <rFont val="Arial"/>
        <family val="0"/>
        <charset val="1"/>
      </rPr>
      <t xml:space="preserve">11 §5.1A </t>
    </r>
    <r>
      <rPr>
        <sz val="10"/>
        <rFont val="Noto Sans CJK SC"/>
        <family val="2"/>
      </rPr>
      <t xml:space="preserve">的反面检查逐字：「它坏了，机器人在场区里慢速走一圈会不…（全文见 </t>
    </r>
    <r>
      <rPr>
        <sz val="10"/>
        <rFont val="Arial"/>
        <family val="0"/>
        <charset val="1"/>
      </rPr>
      <t xml:space="preserve">00 </t>
    </r>
    <r>
      <rPr>
        <sz val="10"/>
        <rFont val="Noto Sans CJK SC"/>
        <family val="2"/>
      </rPr>
      <t xml:space="preserve">册该编号）</t>
    </r>
  </si>
  <si>
    <r>
      <rPr>
        <sz val="10"/>
        <rFont val="Arial"/>
        <family val="0"/>
        <charset val="1"/>
      </rPr>
      <t xml:space="preserve">F12 / 9.5 TTS </t>
    </r>
    <r>
      <rPr>
        <sz val="10"/>
        <rFont val="Noto Sans CJK SC"/>
        <family val="2"/>
      </rPr>
      <t xml:space="preserve">播报</t>
    </r>
  </si>
  <si>
    <t xml:space="preserve">BIT-40</t>
  </si>
  <si>
    <r>
      <rPr>
        <sz val="10"/>
        <rFont val="Noto Sans CJK SC"/>
        <family val="2"/>
      </rPr>
      <t xml:space="preserve">自检 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播报占用喊话喇叭，是 </t>
    </r>
    <r>
      <rPr>
        <sz val="10"/>
        <rFont val="Arial"/>
        <family val="0"/>
        <charset val="1"/>
      </rPr>
      <t xml:space="preserve">CON-01 </t>
    </r>
    <r>
      <rPr>
        <sz val="10"/>
        <rFont val="Noto Sans CJK SC"/>
        <family val="2"/>
      </rPr>
      <t xml:space="preserve">音频仲裁域的一个来源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</si>
  <si>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自检 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播报占用喊话喇叭，是 </t>
    </r>
    <r>
      <rPr>
        <sz val="10"/>
        <rFont val="Arial"/>
        <family val="0"/>
        <charset val="1"/>
      </rPr>
      <t xml:space="preserve">CON-01 </t>
    </r>
    <r>
      <rPr>
        <sz val="10"/>
        <rFont val="Noto Sans CJK SC"/>
        <family val="2"/>
      </rPr>
      <t xml:space="preserve">音频仲裁域的一个来源。建议其优先级设为最低，任何模式请求（尤其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模式报警）均可抢占</t>
    </r>
  </si>
  <si>
    <t xml:space="preserve">BIT-41</t>
  </si>
  <si>
    <t xml:space="preserve">默认仅播报「自检通过」或失败项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</si>
  <si>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默认仅播报「自检通过」或失败项；全量播报作为配置项开启。理由：十余项全量播报在营区环境中噪音过大</t>
    </r>
  </si>
  <si>
    <r>
      <rPr>
        <sz val="10"/>
        <rFont val="Arial"/>
        <family val="0"/>
        <charset val="1"/>
      </rPr>
      <t xml:space="preserve">F13 / 16.1 </t>
    </r>
    <r>
      <rPr>
        <sz val="10"/>
        <rFont val="Noto Sans CJK SC"/>
        <family val="2"/>
      </rPr>
      <t xml:space="preserve">标定范围</t>
    </r>
  </si>
  <si>
    <t xml:space="preserve">CAL-01</t>
  </si>
  <si>
    <r>
      <rPr>
        <sz val="10"/>
        <rFont val="Noto Sans CJK SC"/>
        <family val="2"/>
      </rPr>
      <t xml:space="preserve">仅 </t>
    </r>
    <r>
      <rPr>
        <sz val="10"/>
        <rFont val="Arial"/>
        <family val="0"/>
        <charset val="1"/>
      </rPr>
      <t xml:space="preserve">RGBD </t>
    </r>
    <r>
      <rPr>
        <sz val="10"/>
        <rFont val="Noto Sans CJK SC"/>
        <family val="2"/>
      </rPr>
      <t xml:space="preserve">相机需要严格标定外参</t>
    </r>
  </si>
  <si>
    <r>
      <rPr>
        <sz val="10"/>
        <rFont val="Noto Sans CJK SC"/>
        <family val="2"/>
      </rPr>
      <t xml:space="preserve">【工程】标定按现场流程实测并输出精度；配置走冻结线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快照，核对缺键拒启、范围断言与单一来源。</t>
    </r>
  </si>
  <si>
    <t xml:space="preserve">CAL-02</t>
  </si>
  <si>
    <r>
      <rPr>
        <sz val="10"/>
        <rFont val="Noto Sans CJK SC"/>
        <family val="2"/>
      </rPr>
      <t xml:space="preserve">云台相机不做外参标定，也不做开机 </t>
    </r>
    <r>
      <rPr>
        <sz val="10"/>
        <rFont val="Arial"/>
        <family val="0"/>
        <charset val="1"/>
      </rPr>
      <t xml:space="preserve">yaw </t>
    </r>
    <r>
      <rPr>
        <sz val="10"/>
        <rFont val="Noto Sans CJK SC"/>
        <family val="2"/>
      </rPr>
      <t xml:space="preserve">对齐 —— 后者做不到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</si>
  <si>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v0.5 </t>
    </r>
    <r>
      <rPr>
        <sz val="10"/>
        <rFont val="Noto Sans CJK SC"/>
        <family val="2"/>
      </rPr>
      <t xml:space="preserve">重写】云台相机不做外参标定，也不做开机 </t>
    </r>
    <r>
      <rPr>
        <sz val="10"/>
        <rFont val="Arial"/>
        <family val="0"/>
        <charset val="1"/>
      </rPr>
      <t xml:space="preserve">yaw </t>
    </r>
    <r>
      <rPr>
        <sz val="10"/>
        <rFont val="Noto Sans CJK SC"/>
        <family val="2"/>
      </rPr>
      <t xml:space="preserve">对齐 —— 后者做不到。 开机只做两件能做到的事：
① </t>
    </r>
    <r>
      <rPr>
        <sz val="10"/>
        <rFont val="Arial"/>
        <family val="0"/>
        <charset val="1"/>
      </rPr>
      <t xml:space="preserve">goto_preset(</t>
    </r>
    <r>
      <rPr>
        <sz val="10"/>
        <rFont val="Noto Sans CJK SC"/>
        <family val="2"/>
      </rPr>
      <t xml:space="preserve">行进观察位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PAY-33</t>
    </r>
    <r>
      <rPr>
        <sz val="10"/>
        <rFont val="Noto Sans CJK SC"/>
        <family val="2"/>
      </rPr>
      <t xml:space="preserve">， 受 </t>
    </r>
    <r>
      <rPr>
        <sz val="10"/>
        <rFont val="Arial"/>
        <family val="0"/>
        <charset val="1"/>
      </rPr>
      <t xml:space="preserve">T-PTZ-1 </t>
    </r>
    <r>
      <rPr>
        <sz val="10"/>
        <rFont val="Noto Sans CJK SC"/>
        <family val="2"/>
      </rPr>
      <t xml:space="preserve">制约）；
② </t>
    </r>
    <r>
      <rPr>
        <sz val="10"/>
        <rFont val="Arial"/>
        <family val="0"/>
        <charset val="1"/>
      </rPr>
      <t xml:space="preserve">LAPI </t>
    </r>
    <r>
      <rPr>
        <sz val="10"/>
        <rFont val="Noto Sans CJK SC"/>
        <family val="2"/>
      </rPr>
      <t xml:space="preserve">侧初始态写入并回读确认（</t>
    </r>
    <r>
      <rPr>
        <sz val="10"/>
        <rFont val="Arial"/>
        <family val="0"/>
        <charset val="1"/>
      </rPr>
      <t xml:space="preserve">BIT-34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FocusMode=2 / MovePTZ=1 / </t>
    </r>
    <r>
      <rPr>
        <sz val="10"/>
        <rFont val="Noto Sans CJK SC"/>
        <family val="2"/>
      </rPr>
      <t xml:space="preserve">码率与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间隔基线）。
 本项目对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云台朝向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不做任何角度承诺 —— 下游（</t>
    </r>
    <r>
      <rPr>
        <sz val="10"/>
        <rFont val="Arial"/>
        <family val="0"/>
        <charset val="1"/>
      </rPr>
      <t xml:space="preserve">11 ModeState.ptz.aligned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set_track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ptz_not_aligned </t>
    </r>
    <r>
      <rPr>
        <sz val="10"/>
        <rFont val="Noto Sans CJK SC"/>
        <family val="2"/>
      </rPr>
      <t xml:space="preserve">拒绝逻辑）需按此重定： 不存在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已对齐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这个状态，只存在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已回到 </t>
    </r>
    <r>
      <rPr>
        <sz val="10"/>
        <rFont val="Arial"/>
        <family val="0"/>
        <charset val="1"/>
      </rPr>
      <t xml:space="preserve">Preset"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11 §7.4.1 </t>
    </r>
    <r>
      <rPr>
        <sz val="10"/>
        <rFont val="Noto Sans CJK SC"/>
        <family val="2"/>
      </rPr>
      <t xml:space="preserve">已改为墓碑，</t>
    </r>
    <r>
      <rPr>
        <sz val="10"/>
        <rFont val="Arial"/>
        <family val="0"/>
        <charset val="1"/>
      </rPr>
      <t xml:space="preserve">ModeState.ptz.aligned </t>
    </r>
    <r>
      <rPr>
        <sz val="10"/>
        <rFont val="Noto Sans CJK SC"/>
        <family val="2"/>
      </rPr>
      <t xml:space="preserve">不引入）</t>
    </r>
  </si>
  <si>
    <r>
      <rPr>
        <sz val="10"/>
        <rFont val="Noto Sans CJK SC"/>
        <family val="2"/>
      </rPr>
      <t xml:space="preserve">❌ 开机 </t>
    </r>
    <r>
      <rPr>
        <sz val="10"/>
        <rFont val="Arial"/>
        <family val="0"/>
        <charset val="1"/>
      </rPr>
      <t xml:space="preserve">goto_preset(</t>
    </r>
    <r>
      <rPr>
        <sz val="10"/>
        <rFont val="Noto Sans CJK SC"/>
        <family val="2"/>
      </rPr>
      <t xml:space="preserve">行进观察位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未实现</t>
    </r>
  </si>
  <si>
    <t xml:space="preserve">CAL-03</t>
  </si>
  <si>
    <r>
      <rPr>
        <sz val="10"/>
        <rFont val="Noto Sans CJK SC"/>
        <family val="2"/>
      </rPr>
      <t xml:space="preserve">该简化将标定工作从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多传感器联合标定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降为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单相机外参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一次 </t>
    </r>
    <r>
      <rPr>
        <sz val="10"/>
        <rFont val="Arial"/>
        <family val="0"/>
        <charset val="1"/>
      </rPr>
      <t xml:space="preserve">Preset </t>
    </r>
    <r>
      <rPr>
        <sz val="10"/>
        <rFont val="Noto Sans CJK SC"/>
        <family val="2"/>
      </rPr>
      <t xml:space="preserve">调用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（ —— 归零不存在，见 </t>
    </r>
    <r>
      <rPr>
        <sz val="10"/>
        <rFont val="Arial"/>
        <family val="0"/>
        <charset val="1"/>
      </rPr>
      <t xml:space="preserve">CAL…</t>
    </r>
  </si>
  <si>
    <r>
      <rPr>
        <sz val="10"/>
        <rFont val="Noto Sans CJK SC"/>
        <family val="2"/>
      </rPr>
      <t xml:space="preserve">【订正措辞】该简化将标定工作从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多传感器联合标定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降为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单相机外参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一次 </t>
    </r>
    <r>
      <rPr>
        <sz val="10"/>
        <rFont val="Arial"/>
        <family val="0"/>
        <charset val="1"/>
      </rPr>
      <t xml:space="preserve">Preset </t>
    </r>
    <r>
      <rPr>
        <sz val="10"/>
        <rFont val="Noto Sans CJK SC"/>
        <family val="2"/>
      </rPr>
      <t xml:space="preserve">调用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（ —— 归零不存在，见 </t>
    </r>
    <r>
      <rPr>
        <sz val="10"/>
        <rFont val="Arial"/>
        <family val="0"/>
        <charset val="1"/>
      </rPr>
      <t xml:space="preserve">CAL-02-X</t>
    </r>
    <r>
      <rPr>
        <sz val="10"/>
        <rFont val="Noto Sans CJK SC"/>
        <family val="2"/>
      </rPr>
      <t xml:space="preserve">），工程量相差一个数量级</t>
    </r>
  </si>
  <si>
    <t xml:space="preserve">CAL-31</t>
  </si>
  <si>
    <t xml:space="preserve">云台不得用于任何角度量测用途</t>
  </si>
  <si>
    <r>
      <rPr>
        <sz val="10"/>
        <rFont val="Noto Sans CJK SC"/>
        <family val="2"/>
      </rPr>
      <t xml:space="preserve">【新增】云台不得用于任何角度量测用途：因位置回读为假值，云台角度不是可信量测。 禁止用于：目标方位解算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世界坐标反投影（</t>
    </r>
    <r>
      <rPr>
        <sz val="10"/>
        <rFont val="Arial"/>
        <family val="0"/>
        <charset val="1"/>
      </rPr>
      <t xml:space="preserve">PER-51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围栏判定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喊话定向。 这些用途一律使用机体 </t>
    </r>
    <r>
      <rPr>
        <sz val="10"/>
        <rFont val="Arial"/>
        <family val="0"/>
        <charset val="1"/>
      </rPr>
      <t xml:space="preserve">yaw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双天线）</t>
    </r>
    <r>
      <rPr>
        <sz val="10"/>
        <rFont val="Arial"/>
        <family val="0"/>
        <charset val="1"/>
      </rPr>
      <t xml:space="preserve">+ 336L </t>
    </r>
    <r>
      <rPr>
        <sz val="10"/>
        <rFont val="Noto Sans CJK SC"/>
        <family val="2"/>
      </rPr>
      <t xml:space="preserve">外参（</t>
    </r>
    <r>
      <rPr>
        <sz val="10"/>
        <rFont val="Arial"/>
        <family val="0"/>
        <charset val="1"/>
      </rPr>
      <t xml:space="preserve">CAL-10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</si>
  <si>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F13 / 16.2 RGBD </t>
    </r>
    <r>
      <rPr>
        <sz val="10"/>
        <rFont val="Noto Sans CJK SC"/>
        <family val="2"/>
      </rPr>
      <t xml:space="preserve">外参的精度要求</t>
    </r>
  </si>
  <si>
    <t xml:space="preserve">CAL-10</t>
  </si>
  <si>
    <r>
      <rPr>
        <sz val="10"/>
        <rFont val="Arial"/>
        <family val="0"/>
        <charset val="1"/>
      </rPr>
      <t xml:space="preserve">RGBD </t>
    </r>
    <r>
      <rPr>
        <sz val="10"/>
        <rFont val="Noto Sans CJK SC"/>
        <family val="2"/>
      </rPr>
      <t xml:space="preserve">相机 → </t>
    </r>
    <r>
      <rPr>
        <sz val="10"/>
        <rFont val="Arial"/>
        <family val="0"/>
        <charset val="1"/>
      </rPr>
      <t xml:space="preserve">base_link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6DoF </t>
    </r>
    <r>
      <rPr>
        <sz val="10"/>
        <rFont val="Noto Sans CJK SC"/>
        <family val="2"/>
      </rPr>
      <t xml:space="preserve">外参是 </t>
    </r>
    <r>
      <rPr>
        <sz val="10"/>
        <rFont val="Arial"/>
        <family val="0"/>
        <charset val="1"/>
      </rPr>
      <t xml:space="preserve">world_pos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PER-10</t>
    </r>
    <r>
      <rPr>
        <sz val="10"/>
        <rFont val="Noto Sans CJK SC"/>
        <family val="2"/>
      </rPr>
      <t xml:space="preserve">）计算的直接依赖</t>
    </r>
  </si>
  <si>
    <t xml:space="preserve">CAL-11</t>
  </si>
  <si>
    <t xml:space="preserve">标定流程必须输出精度指标，而不能只输出外参数值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</si>
  <si>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标定流程必须输出精度指标，而不能只输出外参数值</t>
    </r>
  </si>
  <si>
    <t xml:space="preserve">CAL-12</t>
  </si>
  <si>
    <t xml:space="preserve">理由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</si>
  <si>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理由：外参误差会直接传导到围栏判定。目标在 </t>
    </r>
    <r>
      <rPr>
        <sz val="10"/>
        <rFont val="Arial"/>
        <family val="0"/>
        <charset val="1"/>
      </rPr>
      <t xml:space="preserve">10 m </t>
    </r>
    <r>
      <rPr>
        <sz val="10"/>
        <rFont val="Noto Sans CJK SC"/>
        <family val="2"/>
      </rPr>
      <t xml:space="preserve">处，</t>
    </r>
    <r>
      <rPr>
        <sz val="10"/>
        <rFont val="Arial"/>
        <family val="0"/>
        <charset val="1"/>
      </rPr>
      <t xml:space="preserve">1° </t>
    </r>
    <r>
      <rPr>
        <sz val="10"/>
        <rFont val="Noto Sans CJK SC"/>
        <family val="2"/>
      </rPr>
      <t xml:space="preserve">的角度误差 </t>
    </r>
    <r>
      <rPr>
        <sz val="10"/>
        <rFont val="Arial"/>
        <family val="0"/>
        <charset val="1"/>
      </rPr>
      <t xml:space="preserve">= 0.17 m </t>
    </r>
    <r>
      <rPr>
        <sz val="10"/>
        <rFont val="Noto Sans CJK SC"/>
        <family val="2"/>
      </rPr>
      <t xml:space="preserve">横向误差。</t>
    </r>
    <r>
      <rPr>
        <sz val="10"/>
        <rFont val="Arial"/>
        <family val="0"/>
        <charset val="1"/>
      </rPr>
      <t xml:space="preserve">NAV-46 </t>
    </r>
    <r>
      <rPr>
        <sz val="10"/>
        <rFont val="Noto Sans CJK SC"/>
        <family val="2"/>
      </rPr>
      <t xml:space="preserve">要求围栏判定计入位置不确定度，标定精度必须作为已知量输入</t>
    </r>
  </si>
  <si>
    <t xml:space="preserve">CAL-13</t>
  </si>
  <si>
    <t xml:space="preserve">上装为后装设备，每台车装配后的外参都不同，标定必须做成可重复执行的现场流程，而非一次性调参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</si>
  <si>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上装为后装设备，每台车装配后的外参都不同，标定必须做成可重复执行的现场流程，而非一次性调参</t>
    </r>
  </si>
  <si>
    <r>
      <rPr>
        <sz val="10"/>
        <rFont val="Arial"/>
        <family val="0"/>
        <charset val="1"/>
      </rPr>
      <t xml:space="preserve">✅ 10-26 </t>
    </r>
    <r>
      <rPr>
        <sz val="10"/>
        <rFont val="Noto Sans CJK SC"/>
        <family val="2"/>
      </rPr>
      <t xml:space="preserve">实测 </t>
    </r>
    <r>
      <rPr>
        <sz val="10"/>
        <rFont val="Arial"/>
        <family val="0"/>
        <charset val="1"/>
      </rPr>
      <t xml:space="preserve">h_camera_m </t>
    </r>
    <r>
      <rPr>
        <sz val="10"/>
        <rFont val="Noto Sans CJK SC"/>
        <family val="2"/>
      </rPr>
      <t xml:space="preserve">落值（</t>
    </r>
    <r>
      <rPr>
        <sz val="10"/>
        <rFont val="Arial"/>
        <family val="0"/>
        <charset val="1"/>
      </rPr>
      <t xml:space="preserve">configs/calib/gj-001.yaml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</si>
  <si>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F13 / 16.3 </t>
    </r>
    <r>
      <rPr>
        <sz val="10"/>
        <rFont val="Noto Sans CJK SC"/>
        <family val="2"/>
      </rPr>
      <t xml:space="preserve">待确认</t>
    </r>
  </si>
  <si>
    <t xml:space="preserve">CAL-20</t>
  </si>
  <si>
    <r>
      <rPr>
        <sz val="10"/>
        <rFont val="Arial"/>
        <family val="0"/>
        <charset val="1"/>
      </rPr>
      <t xml:space="preserve">cam-lidar </t>
    </r>
    <r>
      <rPr>
        <sz val="10"/>
        <rFont val="Noto Sans CJK SC"/>
        <family val="2"/>
      </rPr>
      <t xml:space="preserve">相对外参如何获得？ </t>
    </r>
    <r>
      <rPr>
        <sz val="10"/>
        <rFont val="Arial"/>
        <family val="0"/>
        <charset val="1"/>
      </rPr>
      <t xml:space="preserve">perception </t>
    </r>
    <r>
      <rPr>
        <sz val="10"/>
        <rFont val="Noto Sans CJK SC"/>
        <family val="2"/>
      </rPr>
      <t xml:space="preserve">执行 </t>
    </r>
    <r>
      <rPr>
        <sz val="10"/>
        <rFont val="Arial"/>
        <family val="0"/>
        <charset val="1"/>
      </rPr>
      <t xml:space="preserve">camera + lidar </t>
    </r>
    <r>
      <rPr>
        <sz val="10"/>
        <rFont val="Noto Sans CJK SC"/>
        <family val="2"/>
      </rPr>
      <t xml:space="preserve">融合</t>
    </r>
  </si>
  <si>
    <r>
      <rPr>
        <sz val="10"/>
        <rFont val="Arial"/>
        <family val="0"/>
        <charset val="1"/>
      </rPr>
      <t xml:space="preserve">cam-lidar </t>
    </r>
    <r>
      <rPr>
        <sz val="10"/>
        <rFont val="Noto Sans CJK SC"/>
        <family val="2"/>
      </rPr>
      <t xml:space="preserve">相对外参如何获得？ </t>
    </r>
    <r>
      <rPr>
        <sz val="10"/>
        <rFont val="Arial"/>
        <family val="0"/>
        <charset val="1"/>
      </rPr>
      <t xml:space="preserve">perception </t>
    </r>
    <r>
      <rPr>
        <sz val="10"/>
        <rFont val="Noto Sans CJK SC"/>
        <family val="2"/>
      </rPr>
      <t xml:space="preserve">执行 </t>
    </r>
    <r>
      <rPr>
        <sz val="10"/>
        <rFont val="Arial"/>
        <family val="0"/>
        <charset val="1"/>
      </rPr>
      <t xml:space="preserve">camera + lidar </t>
    </r>
    <r>
      <rPr>
        <sz val="10"/>
        <rFont val="Noto Sans CJK SC"/>
        <family val="2"/>
      </rPr>
      <t xml:space="preserve">融合。若 </t>
    </r>
    <r>
      <rPr>
        <sz val="10"/>
        <rFont val="Arial"/>
        <family val="0"/>
        <charset val="1"/>
      </rPr>
      <t xml:space="preserve">LiDAR </t>
    </r>
    <r>
      <rPr>
        <sz val="10"/>
        <rFont val="Noto Sans CJK SC"/>
        <family val="2"/>
      </rPr>
      <t xml:space="preserve">为底盘自带、外参由厂商给定（相对 </t>
    </r>
    <r>
      <rPr>
        <sz val="10"/>
        <rFont val="Arial"/>
        <family val="0"/>
        <charset val="1"/>
      </rPr>
      <t xml:space="preserve">base_link </t>
    </r>
    <r>
      <rPr>
        <sz val="10"/>
        <rFont val="Noto Sans CJK SC"/>
        <family val="2"/>
      </rPr>
      <t xml:space="preserve">固定），则 </t>
    </r>
    <r>
      <rPr>
        <sz val="10"/>
        <rFont val="Arial"/>
        <family val="0"/>
        <charset val="1"/>
      </rPr>
      <t xml:space="preserve">cam↔lidar </t>
    </r>
    <r>
      <rPr>
        <sz val="10"/>
        <rFont val="Noto Sans CJK SC"/>
        <family val="2"/>
      </rPr>
      <t xml:space="preserve">的相对关系是经由各自到 </t>
    </r>
    <r>
      <rPr>
        <sz val="10"/>
        <rFont val="Arial"/>
        <family val="0"/>
        <charset val="1"/>
      </rPr>
      <t xml:space="preserve">base_link </t>
    </r>
    <r>
      <rPr>
        <sz val="10"/>
        <rFont val="Noto Sans CJK SC"/>
        <family val="2"/>
      </rPr>
      <t xml:space="preserve">的外参间接推导，误差会叠加。
是否够用取决于融合算法：紧耦合（点云投影到图像做像素级关联）可能不够，松耦合（各自出目标再关联）够用。待查看 </t>
    </r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融合代码后确认</t>
    </r>
  </si>
  <si>
    <t xml:space="preserve">CAL-30</t>
  </si>
  <si>
    <r>
      <rPr>
        <sz val="10"/>
        <rFont val="Noto Sans CJK SC"/>
        <family val="2"/>
      </rPr>
      <t xml:space="preserve">已关闭（</t>
    </r>
    <r>
      <rPr>
        <sz val="10"/>
        <rFont val="Arial"/>
        <family val="0"/>
        <charset val="1"/>
      </rPr>
      <t xml:space="preserve">2026-07-29 </t>
    </r>
    <r>
      <rPr>
        <sz val="10"/>
        <rFont val="Noto Sans CJK SC"/>
        <family val="2"/>
      </rPr>
      <t xml:space="preserve">实测，</t>
    </r>
    <r>
      <rPr>
        <sz val="10"/>
        <rFont val="Arial"/>
        <family val="0"/>
        <charset val="1"/>
      </rPr>
      <t xml:space="preserve">99 C28.2</t>
    </r>
    <r>
      <rPr>
        <sz val="10"/>
        <rFont val="Noto Sans CJK SC"/>
        <family val="2"/>
      </rPr>
      <t xml:space="preserve">）—— 答案是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两个都不支持</t>
    </r>
    <r>
      <rPr>
        <sz val="10"/>
        <rFont val="Arial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</si>
  <si>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已关闭（</t>
    </r>
    <r>
      <rPr>
        <sz val="10"/>
        <rFont val="Arial"/>
        <family val="0"/>
        <charset val="1"/>
      </rPr>
      <t xml:space="preserve">2026-07-29 </t>
    </r>
    <r>
      <rPr>
        <sz val="10"/>
        <rFont val="Noto Sans CJK SC"/>
        <family val="2"/>
      </rPr>
      <t xml:space="preserve">实测，</t>
    </r>
    <r>
      <rPr>
        <sz val="10"/>
        <rFont val="Arial"/>
        <family val="0"/>
        <charset val="1"/>
      </rPr>
      <t xml:space="preserve">99 C28.2</t>
    </r>
    <r>
      <rPr>
        <sz val="10"/>
        <rFont val="Noto Sans CJK SC"/>
        <family val="2"/>
      </rPr>
      <t xml:space="preserve">）—— 答案是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两个都不支持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： 绝对位置下发＝空操作（返回成功但不动）； 位置回读恒为假值 </t>
    </r>
    <r>
      <rPr>
        <sz val="10"/>
        <rFont val="Arial"/>
        <family val="0"/>
        <charset val="1"/>
      </rPr>
      <t xml:space="preserve">(180, 0)</t>
    </r>
    <r>
      <rPr>
        <sz val="10"/>
        <rFont val="Noto Sans CJK SC"/>
        <family val="2"/>
      </rPr>
      <t xml:space="preserve">； 也无可用的机械限位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霍尔回零通路（</t>
    </r>
    <r>
      <rPr>
        <sz val="10"/>
        <rFont val="Arial"/>
        <family val="0"/>
        <charset val="1"/>
      </rPr>
      <t xml:space="preserve">PELCO-D </t>
    </r>
    <r>
      <rPr>
        <sz val="10"/>
        <rFont val="Noto Sans CJK SC"/>
        <family val="2"/>
      </rPr>
      <t xml:space="preserve">外置云台）。
 结论：开机对齐 </t>
    </r>
    <r>
      <rPr>
        <sz val="10"/>
        <rFont val="Arial"/>
        <family val="0"/>
        <charset val="1"/>
      </rPr>
      <t xml:space="preserve">yaw </t>
    </r>
    <r>
      <rPr>
        <sz val="10"/>
        <rFont val="Noto Sans CJK SC"/>
        <family val="2"/>
      </rPr>
      <t xml:space="preserve">永久不可实现，已按 </t>
    </r>
    <r>
      <rPr>
        <sz val="10"/>
        <rFont val="Arial"/>
        <family val="0"/>
        <charset val="1"/>
      </rPr>
      <t xml:space="preserve">CAL-02 / PAY-22 / BIT-32 </t>
    </r>
    <r>
      <rPr>
        <sz val="10"/>
        <rFont val="Noto Sans CJK SC"/>
        <family val="2"/>
      </rPr>
      <t xml:space="preserve">重写。 本条保留在此不删，作为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已问过、已答过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的封存记录</t>
    </r>
  </si>
  <si>
    <r>
      <rPr>
        <sz val="10"/>
        <rFont val="Arial"/>
        <family val="0"/>
        <charset val="1"/>
      </rPr>
      <t xml:space="preserve">F13 / 17.1 </t>
    </r>
    <r>
      <rPr>
        <sz val="10"/>
        <rFont val="Noto Sans CJK SC"/>
        <family val="2"/>
      </rPr>
      <t xml:space="preserve">基本要求</t>
    </r>
  </si>
  <si>
    <t xml:space="preserve">CFG-01</t>
  </si>
  <si>
    <r>
      <rPr>
        <sz val="10"/>
        <rFont val="Noto Sans CJK SC"/>
        <family val="2"/>
      </rPr>
      <t xml:space="preserve">所有功能模块进程均配有 </t>
    </r>
    <r>
      <rPr>
        <sz val="10"/>
        <rFont val="Arial"/>
        <family val="0"/>
        <charset val="1"/>
      </rPr>
      <t xml:space="preserve">YAML </t>
    </r>
    <r>
      <rPr>
        <sz val="10"/>
        <rFont val="Noto Sans CJK SC"/>
        <family val="2"/>
      </rPr>
      <t xml:space="preserve">参数文件</t>
    </r>
  </si>
  <si>
    <r>
      <rPr>
        <sz val="10"/>
        <rFont val="Noto Sans CJK SC"/>
        <family val="2"/>
      </rPr>
      <t xml:space="preserve">所有功能模块进程均配有 </t>
    </r>
    <r>
      <rPr>
        <sz val="10"/>
        <rFont val="Arial"/>
        <family val="0"/>
        <charset val="1"/>
      </rPr>
      <t xml:space="preserve">YAML </t>
    </r>
    <r>
      <rPr>
        <sz val="10"/>
        <rFont val="Noto Sans CJK SC"/>
        <family val="2"/>
      </rPr>
      <t xml:space="preserve">参数文件。 补充（</t>
    </r>
    <r>
      <rPr>
        <sz val="10"/>
        <rFont val="Arial"/>
        <family val="0"/>
        <charset val="1"/>
      </rPr>
      <t xml:space="preserve">2026-07-30</t>
    </r>
    <r>
      <rPr>
        <sz val="10"/>
        <rFont val="Noto Sans CJK SC"/>
        <family val="2"/>
      </rPr>
      <t xml:space="preserve">）：文件一律落在 </t>
    </r>
    <r>
      <rPr>
        <sz val="10"/>
        <rFont val="Arial"/>
        <family val="0"/>
        <charset val="1"/>
      </rPr>
      <t xml:space="preserve">CFG-03 </t>
    </r>
    <r>
      <rPr>
        <sz val="10"/>
        <rFont val="Noto Sans CJK SC"/>
        <family val="2"/>
      </rPr>
      <t xml:space="preserve">的唯一配置根目录下， 进程不得自带私有配置目录</t>
    </r>
  </si>
  <si>
    <t xml:space="preserve">CFG-02</t>
  </si>
  <si>
    <t xml:space="preserve">用于定义</t>
  </si>
  <si>
    <t xml:space="preserve">用于定义：合理的参数、运行模式、调试信息等</t>
  </si>
  <si>
    <t xml:space="preserve">CFG-03</t>
  </si>
  <si>
    <r>
      <rPr>
        <sz val="10"/>
        <rFont val="Noto Sans CJK SC"/>
        <family val="2"/>
      </rPr>
      <t xml:space="preserve">唯一配置根目录 ＝ </t>
    </r>
    <r>
      <rPr>
        <sz val="10"/>
        <rFont val="Arial"/>
        <family val="0"/>
        <charset val="1"/>
      </rPr>
      <t xml:space="preserve">/opt/xbrain_v6/configs</t>
    </r>
    <r>
      <rPr>
        <sz val="10"/>
        <rFont val="Noto Sans CJK SC"/>
        <family val="2"/>
      </rPr>
      <t xml:space="preserve">（ 复数 </t>
    </r>
    <r>
      <rPr>
        <sz val="10"/>
        <rFont val="Arial"/>
        <family val="0"/>
        <charset val="1"/>
      </rPr>
      <t xml:space="preserve">configs</t>
    </r>
    <r>
      <rPr>
        <sz val="10"/>
        <rFont val="Noto Sans CJK SC"/>
        <family val="2"/>
      </rPr>
      <t xml:space="preserve">， 绝对路径）</t>
    </r>
  </si>
  <si>
    <r>
      <rPr>
        <sz val="10"/>
        <rFont val="Noto Sans CJK SC"/>
        <family val="2"/>
      </rPr>
      <t xml:space="preserve">【新增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用户 </t>
    </r>
    <r>
      <rPr>
        <sz val="10"/>
        <rFont val="Arial"/>
        <family val="0"/>
        <charset val="1"/>
      </rPr>
      <t xml:space="preserve">2026-07-30 </t>
    </r>
    <r>
      <rPr>
        <sz val="10"/>
        <rFont val="Noto Sans CJK SC"/>
        <family val="2"/>
      </rPr>
      <t xml:space="preserve">定】唯一配置根目录 ＝ </t>
    </r>
    <r>
      <rPr>
        <sz val="10"/>
        <rFont val="Arial"/>
        <family val="0"/>
        <charset val="1"/>
      </rPr>
      <t xml:space="preserve">/opt/xbrain_v6/configs</t>
    </r>
    <r>
      <rPr>
        <sz val="10"/>
        <rFont val="Noto Sans CJK SC"/>
        <family val="2"/>
      </rPr>
      <t xml:space="preserve">（ 复数 </t>
    </r>
    <r>
      <rPr>
        <sz val="10"/>
        <rFont val="Arial"/>
        <family val="0"/>
        <charset val="1"/>
      </rPr>
      <t xml:space="preserve">configs</t>
    </r>
    <r>
      <rPr>
        <sz val="10"/>
        <rFont val="Noto Sans CJK SC"/>
        <family val="2"/>
      </rPr>
      <t xml:space="preserve">， 绝对路径）。
 这是全局规则 —— </t>
    </r>
    <r>
      <rPr>
        <sz val="10"/>
        <rFont val="Arial"/>
        <family val="0"/>
        <charset val="1"/>
      </rPr>
      <t xml:space="preserve">xbrain_v6 </t>
    </r>
    <r>
      <rPr>
        <sz val="10"/>
        <rFont val="Noto Sans CJK SC"/>
        <family val="2"/>
      </rPr>
      <t xml:space="preserve">控制系统 所有各个模块（</t>
    </r>
    <r>
      <rPr>
        <sz val="10"/>
        <rFont val="Arial"/>
        <family val="0"/>
        <charset val="1"/>
      </rPr>
      <t xml:space="preserve">P1~P5 · perception · quadruped · behavior_proxy · </t>
    </r>
    <r>
      <rPr>
        <sz val="10"/>
        <rFont val="Noto Sans CJK SC"/>
        <family val="2"/>
      </rPr>
      <t xml:space="preserve">周边服务）的 </t>
    </r>
    <r>
      <rPr>
        <sz val="10"/>
        <rFont val="Arial"/>
        <family val="0"/>
        <charset val="1"/>
      </rPr>
      <t xml:space="preserve">YAML </t>
    </r>
    <r>
      <rPr>
        <sz val="10"/>
        <rFont val="Noto Sans CJK SC"/>
        <family val="2"/>
      </rPr>
      <t xml:space="preserve">配置文件统一放到这一个目录下。
 两条硬约束：
① 文档与代码中引用配置文件一律写绝对路径 </t>
    </r>
    <r>
      <rPr>
        <sz val="10"/>
        <rFont val="Arial"/>
        <family val="0"/>
        <charset val="1"/>
      </rPr>
      <t xml:space="preserve">/opt/xbrain_v6/configs/xxx.yaml</t>
    </r>
    <r>
      <rPr>
        <sz val="10"/>
        <rFont val="Noto Sans CJK SC"/>
        <family val="2"/>
      </rPr>
      <t xml:space="preserve">；
② 禁止相对路径写法 </t>
    </r>
    <r>
      <rPr>
        <sz val="10"/>
        <rFont val="Arial"/>
        <family val="0"/>
        <charset val="1"/>
      </rPr>
      <t xml:space="preserve">config/xxx.yaml</t>
    </r>
    <r>
      <rPr>
        <sz val="10"/>
        <rFont val="Noto Sans CJK SC"/>
        <family val="2"/>
      </rPr>
      <t xml:space="preserve">（单数 </t>
    </r>
    <r>
      <rPr>
        <sz val="10"/>
        <rFont val="Arial"/>
        <family val="0"/>
        <charset val="1"/>
      </rPr>
      <t xml:space="preserve">config </t>
    </r>
    <r>
      <rPr>
        <sz val="10"/>
        <rFont val="Noto Sans CJK SC"/>
        <family val="2"/>
      </rPr>
      <t xml:space="preserve">＋ 相对路径）—— 该写法是本文档包 </t>
    </r>
    <r>
      <rPr>
        <sz val="10"/>
        <rFont val="Arial"/>
        <family val="0"/>
        <charset val="1"/>
      </rPr>
      <t xml:space="preserve">v0.4 </t>
    </r>
    <r>
      <rPr>
        <sz val="10"/>
        <rFont val="Noto Sans CJK SC"/>
        <family val="2"/>
      </rPr>
      <t xml:space="preserve">及以前的全局旧惯例，现全部作废；相对路径的实际解析结果取决于进程 </t>
    </r>
    <r>
      <rPr>
        <sz val="10"/>
        <rFont val="Arial"/>
        <family val="0"/>
        <charset val="1"/>
      </rPr>
      <t xml:space="preserve">cwd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systemd </t>
    </r>
    <r>
      <rPr>
        <sz val="10"/>
        <rFont val="Noto Sans CJK SC"/>
        <family val="2"/>
      </rPr>
      <t xml:space="preserve">拉起与手工调试的 </t>
    </r>
    <r>
      <rPr>
        <sz val="10"/>
        <rFont val="Arial"/>
        <family val="0"/>
        <charset val="1"/>
      </rPr>
      <t xml:space="preserve">cwd </t>
    </r>
    <r>
      <rPr>
        <sz val="10"/>
        <rFont val="Noto Sans CJK SC"/>
        <family val="2"/>
      </rPr>
      <t xml:space="preserve">不同 ⇒ 同一份配置在两种启动方式下会读到不同文件，这是最典型的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本地能跑、现场不行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。
 权威架构定义（分层覆盖、引用语法、加载器合并规则、启动断言）由 </t>
    </r>
    <r>
      <rPr>
        <sz val="10"/>
        <rFont val="Arial"/>
        <family val="0"/>
        <charset val="1"/>
      </rPr>
      <t xml:space="preserve">10 §5.4 </t>
    </r>
    <r>
      <rPr>
        <sz val="10"/>
        <rFont val="Noto Sans CJK SC"/>
        <family val="2"/>
      </rPr>
      <t xml:space="preserve">承载； 本条只是需求级约束，不重复定义机制</t>
    </r>
  </si>
  <si>
    <r>
      <rPr>
        <sz val="10"/>
        <rFont val="Noto Sans CJK SC"/>
        <family val="2"/>
      </rPr>
      <t xml:space="preserve">✅ 唯一配置根 </t>
    </r>
    <r>
      <rPr>
        <sz val="10"/>
        <rFont val="Arial"/>
        <family val="0"/>
        <charset val="1"/>
      </rPr>
      <t xml:space="preserve">/opt/xbrain_v6/configs</t>
    </r>
  </si>
  <si>
    <t xml:space="preserve">CFG-04</t>
  </si>
  <si>
    <r>
      <rPr>
        <sz val="10"/>
        <rFont val="Noto Sans CJK SC"/>
        <family val="2"/>
      </rPr>
      <t xml:space="preserve">配置根目录的存在性与可读性是启动前置条件 —— </t>
    </r>
    <r>
      <rPr>
        <sz val="10"/>
        <rFont val="Arial"/>
        <family val="0"/>
        <charset val="1"/>
      </rPr>
      <t xml:space="preserve">/opt/xbrain_v6/configs </t>
    </r>
    <r>
      <rPr>
        <sz val="10"/>
        <rFont val="Noto Sans CJK SC"/>
        <family val="2"/>
      </rPr>
      <t xml:space="preserve">不存在、不可读、或本进程所…</t>
    </r>
  </si>
  <si>
    <r>
      <rPr>
        <sz val="10"/>
        <rFont val="Noto Sans CJK SC"/>
        <family val="2"/>
      </rPr>
      <t xml:space="preserve">【新增】配置根目录的存在性与可读性是启动前置条件 —— </t>
    </r>
    <r>
      <rPr>
        <sz val="10"/>
        <rFont val="Arial"/>
        <family val="0"/>
        <charset val="1"/>
      </rPr>
      <t xml:space="preserve">/opt/xbrain_v6/configs </t>
    </r>
    <r>
      <rPr>
        <sz val="10"/>
        <rFont val="Noto Sans CJK SC"/>
        <family val="2"/>
      </rPr>
      <t xml:space="preserve">不存在、不可读、或本进程所需文件缺失 ⇒ 启动即拒绝并明确报错，与 </t>
    </r>
    <r>
      <rPr>
        <sz val="10"/>
        <rFont val="Arial"/>
        <family val="0"/>
        <charset val="1"/>
      </rPr>
      <t xml:space="preserve">CFG-10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schema </t>
    </r>
    <r>
      <rPr>
        <sz val="10"/>
        <rFont val="Noto Sans CJK SC"/>
        <family val="2"/>
      </rPr>
      <t xml:space="preserve">校验同一道门， 不得回退到代码内默认值静默继续（否则限幅表、围栏几何会悄悄用回默认值 —— 正是 </t>
    </r>
    <r>
      <rPr>
        <sz val="10"/>
        <rFont val="Arial"/>
        <family val="0"/>
        <charset val="1"/>
      </rPr>
      <t xml:space="preserve">CFG-11 </t>
    </r>
    <r>
      <rPr>
        <sz val="10"/>
        <rFont val="Noto Sans CJK SC"/>
        <family val="2"/>
      </rPr>
      <t xml:space="preserve">要防的）。
 现状：该目录已存在但为空（</t>
    </r>
    <r>
      <rPr>
        <sz val="10"/>
        <rFont val="Arial"/>
        <family val="0"/>
        <charset val="1"/>
      </rPr>
      <t xml:space="preserve">2026-07-30 </t>
    </r>
    <r>
      <rPr>
        <sz val="10"/>
        <rFont val="Noto Sans CJK SC"/>
        <family val="2"/>
      </rPr>
      <t xml:space="preserve">核），首批配置文件尚未落盘 ⇒ 部署脚本需负责建目录 ＋ 落盘 ＋ 校验，这是集成清单里的一条，不是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到时候手工放一下</t>
    </r>
    <r>
      <rPr>
        <sz val="10"/>
        <rFont val="Arial"/>
        <family val="0"/>
        <charset val="1"/>
      </rPr>
      <t xml:space="preserve">"</t>
    </r>
  </si>
  <si>
    <t xml:space="preserve">✅ 缺键拒启已多次观察到</t>
  </si>
  <si>
    <t xml:space="preserve">CFG-05</t>
  </si>
  <si>
    <r>
      <rPr>
        <sz val="10"/>
        <rFont val="Noto Sans CJK SC"/>
        <family val="2"/>
      </rPr>
      <t xml:space="preserve">配置文件清单必须与进程清单一一对应（ 权威进程清单在 </t>
    </r>
    <r>
      <rPr>
        <sz val="10"/>
        <rFont val="Arial"/>
        <family val="0"/>
        <charset val="1"/>
      </rPr>
      <t xml:space="preserve">10 §3.1.1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</si>
  <si>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【新增】配置文件清单必须与进程清单一一对应（ 权威进程清单在 </t>
    </r>
    <r>
      <rPr>
        <sz val="10"/>
        <rFont val="Arial"/>
        <family val="0"/>
        <charset val="1"/>
      </rPr>
      <t xml:space="preserve">10 §3.1.1</t>
    </r>
    <r>
      <rPr>
        <sz val="10"/>
        <rFont val="Noto Sans CJK SC"/>
        <family val="2"/>
      </rPr>
      <t xml:space="preserve">）。
 反面样板 </t>
    </r>
    <r>
      <rPr>
        <sz val="10"/>
        <rFont val="Arial"/>
        <family val="0"/>
        <charset val="1"/>
      </rPr>
      <t xml:space="preserve">· bit_service.yaml </t>
    </r>
    <r>
      <rPr>
        <sz val="10"/>
        <rFont val="Noto Sans CJK SC"/>
        <family val="2"/>
      </rPr>
      <t xml:space="preserve">不存在也不得新建 —— </t>
    </r>
    <r>
      <rPr>
        <sz val="10"/>
        <rFont val="Arial"/>
        <family val="0"/>
        <charset val="1"/>
      </rPr>
      <t xml:space="preserve">U48 </t>
    </r>
    <r>
      <rPr>
        <sz val="10"/>
        <rFont val="Noto Sans CJK SC"/>
        <family val="2"/>
      </rPr>
      <t xml:space="preserve">已裁定 </t>
    </r>
    <r>
      <rPr>
        <sz val="10"/>
        <rFont val="Arial"/>
        <family val="0"/>
        <charset val="1"/>
      </rPr>
      <t xml:space="preserve">BIT </t>
    </r>
    <r>
      <rPr>
        <sz val="10"/>
        <rFont val="Noto Sans CJK SC"/>
        <family val="2"/>
      </rPr>
      <t xml:space="preserve">自检并入 </t>
    </r>
    <r>
      <rPr>
        <sz val="10"/>
        <rFont val="Arial"/>
        <family val="0"/>
        <charset val="1"/>
      </rPr>
      <t xml:space="preserve">P2</t>
    </r>
    <r>
      <rPr>
        <sz val="10"/>
        <rFont val="Noto Sans CJK SC"/>
        <family val="2"/>
      </rPr>
      <t xml:space="preserve">（独立启动阶段 ＋ 独立 </t>
    </r>
    <r>
      <rPr>
        <sz val="10"/>
        <rFont val="Arial"/>
        <family val="0"/>
        <charset val="1"/>
      </rPr>
      <t xml:space="preserve">bit </t>
    </r>
    <r>
      <rPr>
        <sz val="10"/>
        <rFont val="Noto Sans CJK SC"/>
        <family val="2"/>
      </rPr>
      <t xml:space="preserve">线程，不设独立进程）⇒ </t>
    </r>
    <r>
      <rPr>
        <sz val="10"/>
        <rFont val="Arial"/>
        <family val="0"/>
        <charset val="1"/>
      </rPr>
      <t xml:space="preserve">BIT </t>
    </r>
    <r>
      <rPr>
        <sz val="10"/>
        <rFont val="Noto Sans CJK SC"/>
        <family val="2"/>
      </rPr>
      <t xml:space="preserve">的参数（自检项必检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可跳过等，</t>
    </r>
    <r>
      <rPr>
        <sz val="10"/>
        <rFont val="Arial"/>
        <family val="0"/>
        <charset val="1"/>
      </rPr>
      <t xml:space="preserve">CFG-42</t>
    </r>
    <r>
      <rPr>
        <sz val="10"/>
        <rFont val="Noto Sans CJK SC"/>
        <family val="2"/>
      </rPr>
      <t xml:space="preserve">）归入 </t>
    </r>
    <r>
      <rPr>
        <sz val="10"/>
        <rFont val="Arial"/>
        <family val="0"/>
        <charset val="1"/>
      </rPr>
      <t xml:space="preserve">P2 </t>
    </r>
    <r>
      <rPr>
        <sz val="10"/>
        <rFont val="Noto Sans CJK SC"/>
        <family val="2"/>
      </rPr>
      <t xml:space="preserve">的配置文件。 为一个不存在的进程建配置文件会造出两处真源，正是 </t>
    </r>
    <r>
      <rPr>
        <sz val="10"/>
        <rFont val="Arial"/>
        <family val="0"/>
        <charset val="1"/>
      </rPr>
      <t xml:space="preserve">CFG-40 </t>
    </r>
    <r>
      <rPr>
        <sz val="10"/>
        <rFont val="Noto Sans CJK SC"/>
        <family val="2"/>
      </rPr>
      <t xml:space="preserve">明令要防的。
 已在 </t>
    </r>
    <r>
      <rPr>
        <sz val="10"/>
        <rFont val="Arial"/>
        <family val="0"/>
        <charset val="1"/>
      </rPr>
      <t xml:space="preserve">11 / 14 </t>
    </r>
    <r>
      <rPr>
        <sz val="10"/>
        <rFont val="Noto Sans CJK SC"/>
        <family val="2"/>
      </rPr>
      <t xml:space="preserve">同步订正为「不新建 </t>
    </r>
    <r>
      <rPr>
        <sz val="10"/>
        <rFont val="Arial"/>
        <family val="0"/>
        <charset val="1"/>
      </rPr>
      <t xml:space="preserve">config/bit_service.yaml</t>
    </r>
    <r>
      <rPr>
        <sz val="10"/>
        <rFont val="Noto Sans CJK SC"/>
        <family val="2"/>
      </rPr>
      <t xml:space="preserve">」</t>
    </r>
  </si>
  <si>
    <r>
      <rPr>
        <sz val="10"/>
        <rFont val="Arial"/>
        <family val="0"/>
        <charset val="1"/>
      </rPr>
      <t xml:space="preserve">F13 / 17.2 </t>
    </r>
    <r>
      <rPr>
        <sz val="10"/>
        <rFont val="Noto Sans CJK SC"/>
        <family val="2"/>
      </rPr>
      <t xml:space="preserve">校验</t>
    </r>
  </si>
  <si>
    <t xml:space="preserve">CFG-10</t>
  </si>
  <si>
    <r>
      <rPr>
        <sz val="10"/>
        <rFont val="Noto Sans CJK SC"/>
        <family val="2"/>
      </rPr>
      <t xml:space="preserve">启动时执行 </t>
    </r>
    <r>
      <rPr>
        <sz val="10"/>
        <rFont val="Arial"/>
        <family val="0"/>
        <charset val="1"/>
      </rPr>
      <t xml:space="preserve">schema </t>
    </r>
    <r>
      <rPr>
        <sz val="10"/>
        <rFont val="Noto Sans CJK SC"/>
        <family val="2"/>
      </rPr>
      <t xml:space="preserve">校验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</si>
  <si>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启动时执行 </t>
    </r>
    <r>
      <rPr>
        <sz val="10"/>
        <rFont val="Arial"/>
        <family val="0"/>
        <charset val="1"/>
      </rPr>
      <t xml:space="preserve">schema </t>
    </r>
    <r>
      <rPr>
        <sz val="10"/>
        <rFont val="Noto Sans CJK SC"/>
        <family val="2"/>
      </rPr>
      <t xml:space="preserve">校验。</t>
    </r>
    <r>
      <rPr>
        <sz val="10"/>
        <rFont val="Arial"/>
        <family val="0"/>
        <charset val="1"/>
      </rPr>
      <t xml:space="preserve">YAML </t>
    </r>
    <r>
      <rPr>
        <sz val="10"/>
        <rFont val="Noto Sans CJK SC"/>
        <family val="2"/>
      </rPr>
      <t xml:space="preserve">打错字、类型错误、数值超范围应在启动时被拒绝并明确报错，而不是运行中崩溃。
 补充断言（</t>
    </r>
    <r>
      <rPr>
        <sz val="10"/>
        <rFont val="Arial"/>
        <family val="0"/>
        <charset val="1"/>
      </rPr>
      <t xml:space="preserve">CFG-03 </t>
    </r>
    <r>
      <rPr>
        <sz val="10"/>
        <rFont val="Noto Sans CJK SC"/>
        <family val="2"/>
      </rPr>
      <t xml:space="preserve">连带）：
① 加载的每个文件的实际绝对路径必须落在 </t>
    </r>
    <r>
      <rPr>
        <sz val="10"/>
        <rFont val="Arial"/>
        <family val="0"/>
        <charset val="1"/>
      </rPr>
      <t xml:space="preserve">/opt/xbrain_v6/configs/ </t>
    </r>
    <r>
      <rPr>
        <sz val="10"/>
        <rFont val="Noto Sans CJK SC"/>
        <family val="2"/>
      </rPr>
      <t xml:space="preserve">之内 —— 校验后打印实际读到的绝对路径（ 这是唯一能证明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没读错文件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的证据）；
② 拒绝任何相对路径与目录穿越（</t>
    </r>
    <r>
      <rPr>
        <sz val="10"/>
        <rFont val="Arial"/>
        <family val="0"/>
        <charset val="1"/>
      </rPr>
      <t xml:space="preserve">config/…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./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../</t>
    </r>
    <r>
      <rPr>
        <sz val="10"/>
        <rFont val="Noto Sans CJK SC"/>
        <family val="2"/>
      </rPr>
      <t xml:space="preserve">、符号链接指向根目录之外）；
③ 引用式共享参数（</t>
    </r>
    <r>
      <rPr>
        <sz val="10"/>
        <rFont val="Arial"/>
        <family val="0"/>
        <charset val="1"/>
      </rPr>
      <t xml:space="preserve">CFG-40</t>
    </r>
    <r>
      <rPr>
        <sz val="10"/>
        <rFont val="Noto Sans CJK SC"/>
        <family val="2"/>
      </rPr>
      <t xml:space="preserve">）的被引用文件也必须在根目录内</t>
    </r>
  </si>
  <si>
    <r>
      <rPr>
        <sz val="10"/>
        <rFont val="Noto Sans CJK SC"/>
        <family val="2"/>
      </rPr>
      <t xml:space="preserve">🟡 有断言；⚠ 生产冻结线跑不通（</t>
    </r>
    <r>
      <rPr>
        <sz val="10"/>
        <rFont val="Arial"/>
        <family val="0"/>
        <charset val="1"/>
      </rPr>
      <t xml:space="preserve">common.yaml 68 </t>
    </r>
    <r>
      <rPr>
        <sz val="10"/>
        <rFont val="Noto Sans CJK SC"/>
        <family val="2"/>
      </rPr>
      <t xml:space="preserve">处 </t>
    </r>
    <r>
      <rPr>
        <sz val="10"/>
        <rFont val="Arial"/>
        <family val="0"/>
        <charset val="1"/>
      </rPr>
      <t xml:space="preserve">null</t>
    </r>
    <r>
      <rPr>
        <sz val="10"/>
        <rFont val="Noto Sans CJK SC"/>
        <family val="2"/>
      </rPr>
      <t xml:space="preserve">），整栈按仿真变体快照起</t>
    </r>
  </si>
  <si>
    <t xml:space="preserve">CFG-11</t>
  </si>
  <si>
    <t xml:space="preserve">安全相关参数需额外的范围断言 —— 限幅表、围栏几何、速度门系数、制动参数写错是危险的，不能仅靠类型检查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</si>
  <si>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安全相关参数需额外的范围断言 —— 限幅表、围栏几何、速度门系数、制动参数写错是危险的，不能仅靠类型检查。
 本域现存的具体安全参数（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后取值已变，断言必须跟着改）：</t>
    </r>
    <r>
      <rPr>
        <sz val="10"/>
        <rFont val="Arial"/>
        <family val="0"/>
        <charset val="1"/>
      </rPr>
      <t xml:space="preserve">patrol 1.0–2.0 m/s · obstacle_avoid 0.2–0.5 m/s · </t>
    </r>
    <r>
      <rPr>
        <sz val="10"/>
        <rFont val="Noto Sans CJK SC"/>
        <family val="2"/>
      </rPr>
      <t xml:space="preserve">安全距离 </t>
    </r>
    <r>
      <rPr>
        <sz val="10"/>
        <rFont val="Arial"/>
        <family val="0"/>
        <charset val="1"/>
      </rPr>
      <t xml:space="preserve">1.0 m · f(d_free) </t>
    </r>
    <r>
      <rPr>
        <sz val="10"/>
        <rFont val="Noto Sans CJK SC"/>
        <family val="2"/>
      </rPr>
      <t xml:space="preserve">四段表 </t>
    </r>
    <r>
      <rPr>
        <sz val="10"/>
        <rFont val="Arial"/>
        <family val="0"/>
        <charset val="1"/>
      </rPr>
      <t xml:space="preserve">· D_slow = 3.0 m · t_</t>
    </r>
    <r>
      <rPr>
        <sz val="10"/>
        <rFont val="Noto Sans CJK SC"/>
        <family val="2"/>
      </rPr>
      <t xml:space="preserve">延迟 </t>
    </r>
    <r>
      <rPr>
        <sz val="10"/>
        <rFont val="Arial"/>
        <family val="0"/>
        <charset val="1"/>
      </rPr>
      <t xml:space="preserve">= 0.4 s · a = 2.5 m/s² · </t>
    </r>
    <r>
      <rPr>
        <sz val="10"/>
        <rFont val="Noto Sans CJK SC"/>
        <family val="2"/>
      </rPr>
      <t xml:space="preserve">绕障膨胀 </t>
    </r>
    <r>
      <rPr>
        <sz val="10"/>
        <rFont val="Arial"/>
        <family val="0"/>
        <charset val="1"/>
      </rPr>
      <t xml:space="preserve">margin_base = 1.0 m · r_robot</t>
    </r>
    <r>
      <rPr>
        <sz val="10"/>
        <rFont val="Noto Sans CJK SC"/>
        <family val="2"/>
      </rPr>
      <t xml:space="preserve">（仍为 </t>
    </r>
    <r>
      <rPr>
        <sz val="10"/>
        <rFont val="Arial"/>
        <family val="0"/>
        <charset val="1"/>
      </rPr>
      <t xml:space="preserve">0.0 </t>
    </r>
    <r>
      <rPr>
        <sz val="10"/>
        <rFont val="Noto Sans CJK SC"/>
        <family val="2"/>
      </rPr>
      <t xml:space="preserve">占位）</t>
    </r>
    <r>
      <rPr>
        <sz val="10"/>
        <rFont val="Arial"/>
        <family val="0"/>
        <charset val="1"/>
      </rPr>
      <t xml:space="preserve">· PTZ tilt </t>
    </r>
    <r>
      <rPr>
        <sz val="10"/>
        <rFont val="Noto Sans CJK SC"/>
        <family val="2"/>
      </rPr>
      <t xml:space="preserve">软限位（</t>
    </r>
    <r>
      <rPr>
        <sz val="10"/>
        <rFont val="Arial"/>
        <family val="0"/>
        <charset val="1"/>
      </rPr>
      <t xml:space="preserve">PAY-11b</t>
    </r>
    <r>
      <rPr>
        <sz val="10"/>
        <rFont val="Noto Sans CJK SC"/>
        <family val="2"/>
      </rPr>
      <t xml:space="preserve">）。
 </t>
    </r>
    <r>
      <rPr>
        <sz val="10"/>
        <rFont val="Arial"/>
        <family val="0"/>
        <charset val="1"/>
      </rPr>
      <t xml:space="preserve">r_robot = 0 </t>
    </r>
    <r>
      <rPr>
        <sz val="10"/>
        <rFont val="Noto Sans CJK SC"/>
        <family val="2"/>
      </rPr>
      <t xml:space="preserve">必须判为非法或恒不通过 —— 绝不能让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被解读成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零半径 ⇒ 永远安全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（典型 </t>
    </r>
    <r>
      <rPr>
        <sz val="10"/>
        <rFont val="Arial"/>
        <family val="0"/>
        <charset val="1"/>
      </rPr>
      <t xml:space="preserve">fail-open</t>
    </r>
    <r>
      <rPr>
        <sz val="10"/>
        <rFont val="Noto Sans CJK SC"/>
        <family val="2"/>
      </rPr>
      <t xml:space="preserve">）。
 断言的执行者不在各业务进程内，见 </t>
    </r>
    <r>
      <rPr>
        <sz val="10"/>
        <rFont val="Arial"/>
        <family val="0"/>
        <charset val="1"/>
      </rPr>
      <t xml:space="preserve">12 §12.1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10 §5.4.4</t>
    </r>
    <r>
      <rPr>
        <sz val="10"/>
        <rFont val="Noto Sans CJK SC"/>
        <family val="2"/>
      </rPr>
      <t xml:space="preserve">； 断言失败 ⇒ 整栈不启动</t>
    </r>
  </si>
  <si>
    <t xml:space="preserve">🟡 安全参数范围断言有单测</t>
  </si>
  <si>
    <r>
      <rPr>
        <sz val="10"/>
        <rFont val="Arial"/>
        <family val="0"/>
        <charset val="1"/>
      </rPr>
      <t xml:space="preserve">F13 / 17.3 </t>
    </r>
    <r>
      <rPr>
        <sz val="10"/>
        <rFont val="Noto Sans CJK SC"/>
        <family val="2"/>
      </rPr>
      <t xml:space="preserve">分层覆盖</t>
    </r>
  </si>
  <si>
    <t xml:space="preserve">CFG-20</t>
  </si>
  <si>
    <t xml:space="preserve">采用三层覆盖而非单一文件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</si>
  <si>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采用三层覆盖而非单一文件：
默认值（代码内） ← 机型配置（</t>
    </r>
    <r>
      <rPr>
        <sz val="10"/>
        <rFont val="Arial"/>
        <family val="0"/>
        <charset val="1"/>
      </rPr>
      <t xml:space="preserve">/opt/xbrain_v6/configs/m20s.yaml</t>
    </r>
    <r>
      <rPr>
        <sz val="10"/>
        <rFont val="Noto Sans CJK SC"/>
        <family val="2"/>
      </rPr>
      <t xml:space="preserve">） ← 现场配置（</t>
    </r>
    <r>
      <rPr>
        <sz val="10"/>
        <rFont val="Arial"/>
        <family val="0"/>
        <charset val="1"/>
      </rPr>
      <t xml:space="preserve">/opt/xbrain_v6/configs/site_xxx.yaml</t>
    </r>
    <r>
      <rPr>
        <sz val="10"/>
        <rFont val="Noto Sans CJK SC"/>
        <family val="2"/>
      </rPr>
      <t xml:space="preserve">）
换营区只需修改最后一层。该结构现在确定几乎无成本。
 注意（</t>
    </r>
    <r>
      <rPr>
        <sz val="10"/>
        <rFont val="Arial"/>
        <family val="0"/>
        <charset val="1"/>
      </rPr>
      <t xml:space="preserve">CFG-03 </t>
    </r>
    <r>
      <rPr>
        <sz val="10"/>
        <rFont val="Noto Sans CJK SC"/>
        <family val="2"/>
      </rPr>
      <t xml:space="preserve">连带）： 三层覆盖不等于三个目录 —— 三层的文件全部位于同一个根目录 </t>
    </r>
    <r>
      <rPr>
        <sz val="10"/>
        <rFont val="Arial"/>
        <family val="0"/>
        <charset val="1"/>
      </rPr>
      <t xml:space="preserve">/opt/xbrain_v6/configs/ </t>
    </r>
    <r>
      <rPr>
        <sz val="10"/>
        <rFont val="Noto Sans CJK SC"/>
        <family val="2"/>
      </rPr>
      <t xml:space="preserve">之下，靠文件名区分层级，不靠路径深度。 权威合并规则见 </t>
    </r>
    <r>
      <rPr>
        <sz val="10"/>
        <rFont val="Arial"/>
        <family val="0"/>
        <charset val="1"/>
      </rPr>
      <t xml:space="preserve">10 §5.4.3</t>
    </r>
  </si>
  <si>
    <t xml:space="preserve">🟡 分层快照在用（仿真变体）</t>
  </si>
  <si>
    <r>
      <rPr>
        <sz val="10"/>
        <rFont val="Arial"/>
        <family val="0"/>
        <charset val="1"/>
      </rPr>
      <t xml:space="preserve">F13 / 17.4 </t>
    </r>
    <r>
      <rPr>
        <sz val="10"/>
        <rFont val="Noto Sans CJK SC"/>
        <family val="2"/>
      </rPr>
      <t xml:space="preserve">热更新边界</t>
    </r>
  </si>
  <si>
    <t xml:space="preserve">CFG-30</t>
  </si>
  <si>
    <t xml:space="preserve">必须明确区分可热更新与需重启的参数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</si>
  <si>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必须明确区分可热更新与需重启的参数：</t>
    </r>
  </si>
  <si>
    <t xml:space="preserve">CFG-31</t>
  </si>
  <si>
    <t xml:space="preserve">安全参数不支持热更新 —— 运行中修改限幅是危险的</t>
  </si>
  <si>
    <r>
      <rPr>
        <sz val="10"/>
        <rFont val="Arial"/>
        <family val="0"/>
        <charset val="1"/>
      </rPr>
      <t xml:space="preserve">F13 / 17.5 </t>
    </r>
    <r>
      <rPr>
        <sz val="10"/>
        <rFont val="Noto Sans CJK SC"/>
        <family val="2"/>
      </rPr>
      <t xml:space="preserve">一致性与审计</t>
    </r>
  </si>
  <si>
    <t xml:space="preserve">CFG-40</t>
  </si>
  <si>
    <t xml:space="preserve">跨进程共享参数必须有单一来源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</si>
  <si>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跨进程共享参数必须有单一来源。</t>
    </r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P2 </t>
    </r>
    <r>
      <rPr>
        <sz val="10"/>
        <rFont val="Noto Sans CJK SC"/>
        <family val="2"/>
      </rPr>
      <t xml:space="preserve">都需要限幅表，</t>
    </r>
    <r>
      <rPr>
        <sz val="10"/>
        <rFont val="Arial"/>
        <family val="0"/>
        <charset val="1"/>
      </rPr>
      <t xml:space="preserve">P2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P3 </t>
    </r>
    <r>
      <rPr>
        <sz val="10"/>
        <rFont val="Noto Sans CJK SC"/>
        <family val="2"/>
      </rPr>
      <t xml:space="preserve">都需要围栏路径，所有进程都需要 </t>
    </r>
    <r>
      <rPr>
        <sz val="10"/>
        <rFont val="Arial"/>
        <family val="0"/>
        <charset val="1"/>
      </rPr>
      <t xml:space="preserve">robot_id</t>
    </r>
    <r>
      <rPr>
        <sz val="10"/>
        <rFont val="Noto Sans CJK SC"/>
        <family val="2"/>
      </rPr>
      <t xml:space="preserve">。若各进程 </t>
    </r>
    <r>
      <rPr>
        <sz val="10"/>
        <rFont val="Arial"/>
        <family val="0"/>
        <charset val="1"/>
      </rPr>
      <t xml:space="preserve">YAML </t>
    </r>
    <r>
      <rPr>
        <sz val="10"/>
        <rFont val="Noto Sans CJK SC"/>
        <family val="2"/>
      </rPr>
      <t xml:space="preserve">各写一份，会出现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改一处漏一处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的配置漂移 —— 这是本域最容易出问题的一点。建议抽取 </t>
    </r>
    <r>
      <rPr>
        <sz val="10"/>
        <rFont val="Arial"/>
        <family val="0"/>
        <charset val="1"/>
      </rPr>
      <t xml:space="preserve">/opt/xbrain_v6/configs/common.yaml</t>
    </r>
    <r>
      <rPr>
        <sz val="10"/>
        <rFont val="Noto Sans CJK SC"/>
        <family val="2"/>
      </rPr>
      <t xml:space="preserve">，各进程引用而非复制。
 单一配置根目录（</t>
    </r>
    <r>
      <rPr>
        <sz val="10"/>
        <rFont val="Arial"/>
        <family val="0"/>
        <charset val="1"/>
      </rPr>
      <t xml:space="preserve">CFG-03</t>
    </r>
    <r>
      <rPr>
        <sz val="10"/>
        <rFont val="Noto Sans CJK SC"/>
        <family val="2"/>
      </rPr>
      <t xml:space="preserve">）是本条成立的前提 —— 若各模块把配置散在自己的目录里，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引用而非复制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在物理上就做不到（跨目录相对引用会随 </t>
    </r>
    <r>
      <rPr>
        <sz val="10"/>
        <rFont val="Arial"/>
        <family val="0"/>
        <charset val="1"/>
      </rPr>
      <t xml:space="preserve">cwd </t>
    </r>
    <r>
      <rPr>
        <sz val="10"/>
        <rFont val="Noto Sans CJK SC"/>
        <family val="2"/>
      </rPr>
      <t xml:space="preserve">漂移）， 只能退化成复制 ⇒ 立刻回到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改一处漏一处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。 引用语法与唯一定义处对照表见 </t>
    </r>
    <r>
      <rPr>
        <sz val="10"/>
        <rFont val="Arial"/>
        <family val="0"/>
        <charset val="1"/>
      </rPr>
      <t xml:space="preserve">10 §5.4.2 / §5.4.5</t>
    </r>
  </si>
  <si>
    <r>
      <rPr>
        <sz val="10"/>
        <rFont val="Noto Sans CJK SC"/>
        <family val="2"/>
      </rPr>
      <t xml:space="preserve">✅ 冻结线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快照单一来源</t>
    </r>
  </si>
  <si>
    <t xml:space="preserve">CFG-41</t>
  </si>
  <si>
    <r>
      <rPr>
        <sz val="10"/>
        <rFont val="Noto Sans CJK SC"/>
        <family val="2"/>
      </rPr>
      <t xml:space="preserve">配置变更需版本记录与审计（谁在何时改了什么），与 </t>
    </r>
    <r>
      <rPr>
        <sz val="10"/>
        <rFont val="Arial"/>
        <family val="0"/>
        <charset val="1"/>
      </rPr>
      <t xml:space="preserve">NFR-33 </t>
    </r>
    <r>
      <rPr>
        <sz val="10"/>
        <rFont val="Noto Sans CJK SC"/>
        <family val="2"/>
      </rPr>
      <t xml:space="preserve">一致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</si>
  <si>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配置变更需版本记录与审计（谁在何时改了什么），与 </t>
    </r>
    <r>
      <rPr>
        <sz val="10"/>
        <rFont val="Arial"/>
        <family val="0"/>
        <charset val="1"/>
      </rPr>
      <t xml:space="preserve">NFR-33 </t>
    </r>
    <r>
      <rPr>
        <sz val="10"/>
        <rFont val="Noto Sans CJK SC"/>
        <family val="2"/>
      </rPr>
      <t xml:space="preserve">一致</t>
    </r>
  </si>
  <si>
    <t xml:space="preserve">CFG-42</t>
  </si>
  <si>
    <r>
      <rPr>
        <sz val="10"/>
        <rFont val="Noto Sans CJK SC"/>
        <family val="2"/>
      </rPr>
      <t xml:space="preserve">自检项的必检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可跳过应由 </t>
    </r>
    <r>
      <rPr>
        <sz val="10"/>
        <rFont val="Arial"/>
        <family val="0"/>
        <charset val="1"/>
      </rPr>
      <t xml:space="preserve">YAML </t>
    </r>
    <r>
      <rPr>
        <sz val="10"/>
        <rFont val="Noto Sans CJK SC"/>
        <family val="2"/>
      </rPr>
      <t xml:space="preserve">配置（</t>
    </r>
    <r>
      <rPr>
        <sz val="10"/>
        <rFont val="Arial"/>
        <family val="0"/>
        <charset val="1"/>
      </rPr>
      <t xml:space="preserve">BIT-02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</si>
  <si>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自检项的必检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可跳过应由 </t>
    </r>
    <r>
      <rPr>
        <sz val="10"/>
        <rFont val="Arial"/>
        <family val="0"/>
        <charset val="1"/>
      </rPr>
      <t xml:space="preserve">YAML </t>
    </r>
    <r>
      <rPr>
        <sz val="10"/>
        <rFont val="Noto Sans CJK SC"/>
        <family val="2"/>
      </rPr>
      <t xml:space="preserve">配置（</t>
    </r>
    <r>
      <rPr>
        <sz val="10"/>
        <rFont val="Arial"/>
        <family val="0"/>
        <charset val="1"/>
      </rPr>
      <t xml:space="preserve">BIT-02</t>
    </r>
    <r>
      <rPr>
        <sz val="10"/>
        <rFont val="Noto Sans CJK SC"/>
        <family val="2"/>
      </rPr>
      <t xml:space="preserve">）。 落点在 </t>
    </r>
    <r>
      <rPr>
        <sz val="10"/>
        <rFont val="Arial"/>
        <family val="0"/>
        <charset val="1"/>
      </rPr>
      <t xml:space="preserve">P2 </t>
    </r>
    <r>
      <rPr>
        <sz val="10"/>
        <rFont val="Noto Sans CJK SC"/>
        <family val="2"/>
      </rPr>
      <t xml:space="preserve">的配置文件， 不新建 </t>
    </r>
    <r>
      <rPr>
        <sz val="10"/>
        <rFont val="Arial"/>
        <family val="0"/>
        <charset val="1"/>
      </rPr>
      <t xml:space="preserve">bit_service.yaml —— </t>
    </r>
    <r>
      <rPr>
        <sz val="10"/>
        <rFont val="Noto Sans CJK SC"/>
        <family val="2"/>
      </rPr>
      <t xml:space="preserve">见 </t>
    </r>
    <r>
      <rPr>
        <sz val="10"/>
        <rFont val="Arial"/>
        <family val="0"/>
        <charset val="1"/>
      </rPr>
      <t xml:space="preserve">CFG-05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U48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BIT </t>
    </r>
    <r>
      <rPr>
        <sz val="10"/>
        <rFont val="Noto Sans CJK SC"/>
        <family val="2"/>
      </rPr>
      <t xml:space="preserve">无独立进程）</t>
    </r>
  </si>
  <si>
    <r>
      <rPr>
        <sz val="10"/>
        <rFont val="Arial"/>
        <family val="0"/>
        <charset val="1"/>
      </rPr>
      <t xml:space="preserve">F14 / 4.10 </t>
    </r>
    <r>
      <rPr>
        <sz val="10"/>
        <rFont val="Noto Sans CJK SC"/>
        <family val="2"/>
      </rPr>
      <t xml:space="preserve">【新】语音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文本指令集（</t>
    </r>
    <r>
      <rPr>
        <sz val="10"/>
        <rFont val="Arial"/>
        <family val="0"/>
        <charset val="1"/>
      </rPr>
      <t xml:space="preserve">CMD</t>
    </r>
    <r>
      <rPr>
        <sz val="10"/>
        <rFont val="Noto Sans CJK SC"/>
        <family val="2"/>
      </rPr>
      <t xml:space="preserve">）</t>
    </r>
  </si>
  <si>
    <t xml:space="preserve">CMD-01</t>
  </si>
  <si>
    <t xml:space="preserve">指令集必须覆盖全部系统功能 —— 每个功能域至少有对应的控制与查询指令</t>
  </si>
  <si>
    <r>
      <rPr>
        <sz val="10"/>
        <rFont val="Noto Sans CJK SC"/>
        <family val="2"/>
      </rPr>
      <t xml:space="preserve">【离线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真机】逐条指令用语音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文本触发，核对意图识别、确认级别、执行与回执（指令全集以 </t>
    </r>
    <r>
      <rPr>
        <sz val="10"/>
        <rFont val="Arial"/>
        <family val="0"/>
        <charset val="1"/>
      </rPr>
      <t xml:space="preserve">18 </t>
    </r>
    <r>
      <rPr>
        <sz val="10"/>
        <rFont val="Noto Sans CJK SC"/>
        <family val="2"/>
      </rPr>
      <t xml:space="preserve">册为准）。</t>
    </r>
  </si>
  <si>
    <r>
      <rPr>
        <sz val="10"/>
        <rFont val="Noto Sans CJK SC"/>
        <family val="2"/>
      </rPr>
      <t xml:space="preserve">🟡 意图全量注册、有单测；真机只抽测过一部分（</t>
    </r>
    <r>
      <rPr>
        <sz val="10"/>
        <rFont val="Arial"/>
        <family val="0"/>
        <charset val="1"/>
      </rPr>
      <t xml:space="preserve">10-24 D/E </t>
    </r>
    <r>
      <rPr>
        <sz val="10"/>
        <rFont val="Noto Sans CJK SC"/>
        <family val="2"/>
      </rPr>
      <t xml:space="preserve">类、</t>
    </r>
    <r>
      <rPr>
        <sz val="10"/>
        <rFont val="Arial"/>
        <family val="0"/>
        <charset val="1"/>
      </rPr>
      <t xml:space="preserve">10-29 D10 </t>
    </r>
    <r>
      <rPr>
        <sz val="10"/>
        <rFont val="Noto Sans CJK SC"/>
        <family val="2"/>
      </rPr>
      <t xml:space="preserve">音量、云台）</t>
    </r>
  </si>
  <si>
    <t xml:space="preserve">CMD-02</t>
  </si>
  <si>
    <t xml:space="preserve">同义表达收在意图内，不为每种说法建独立意图</t>
  </si>
  <si>
    <t xml:space="preserve">CMD-03</t>
  </si>
  <si>
    <r>
      <rPr>
        <sz val="10"/>
        <rFont val="Noto Sans CJK SC"/>
        <family val="2"/>
      </rPr>
      <t xml:space="preserve">安全类指令（急停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趴下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站立）不依赖模型 —— 走关键词旁路，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熔断时仍可用（</t>
    </r>
    <r>
      <rPr>
        <sz val="10"/>
        <rFont val="Arial"/>
        <family val="0"/>
        <charset val="1"/>
      </rPr>
      <t xml:space="preserve">AI-60</t>
    </r>
    <r>
      <rPr>
        <sz val="10"/>
        <rFont val="Noto Sans CJK SC"/>
        <family val="2"/>
      </rPr>
      <t xml:space="preserve">）</t>
    </r>
  </si>
  <si>
    <t xml:space="preserve">CMD-04</t>
  </si>
  <si>
    <t xml:space="preserve">闭集优先</t>
  </si>
  <si>
    <r>
      <rPr>
        <sz val="10"/>
        <rFont val="Noto Sans CJK SC"/>
        <family val="2"/>
      </rPr>
      <t xml:space="preserve">闭集优先：路径名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位置点名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模式名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预设语句写进 </t>
    </r>
    <r>
      <rPr>
        <sz val="10"/>
        <rFont val="Arial"/>
        <family val="0"/>
        <charset val="1"/>
      </rPr>
      <t xml:space="preserve">GBNF </t>
    </r>
    <r>
      <rPr>
        <sz val="10"/>
        <rFont val="Noto Sans CJK SC"/>
        <family val="2"/>
      </rPr>
      <t xml:space="preserve">语法而非 </t>
    </r>
    <r>
      <rPr>
        <sz val="10"/>
        <rFont val="Arial"/>
        <family val="0"/>
        <charset val="1"/>
      </rPr>
      <t xml:space="preserve">prompt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AI-40b</t>
    </r>
    <r>
      <rPr>
        <sz val="10"/>
        <rFont val="Noto Sans CJK SC"/>
        <family val="2"/>
      </rPr>
      <t xml:space="preserve">）</t>
    </r>
  </si>
  <si>
    <t xml:space="preserve">CMD-10</t>
  </si>
  <si>
    <t xml:space="preserve">支持现场语音录制路径</t>
  </si>
  <si>
    <r>
      <rPr>
        <sz val="10"/>
        <rFont val="Noto Sans CJK SC"/>
        <family val="2"/>
      </rPr>
      <t xml:space="preserve">支持现场语音录制路径：开始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结束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命名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取消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手动加点</t>
    </r>
  </si>
  <si>
    <t xml:space="preserve">CMD-11</t>
  </si>
  <si>
    <t xml:space="preserve">支持录制位置点</t>
  </si>
  <si>
    <t xml:space="preserve">支持录制位置点：把当前位置标记为命名点（单轮，无需多轮）</t>
  </si>
  <si>
    <t xml:space="preserve">CMD-12</t>
  </si>
  <si>
    <t xml:space="preserve">支持录制电子围栏</t>
  </si>
  <si>
    <r>
      <rPr>
        <sz val="10"/>
        <rFont val="Noto Sans CJK SC"/>
        <family val="2"/>
      </rPr>
      <t xml:space="preserve">支持录制电子围栏：开始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结束（自动闭合）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命名</t>
    </r>
  </si>
  <si>
    <t xml:space="preserve">CMD-13</t>
  </si>
  <si>
    <t xml:space="preserve">支持录制充电桩</t>
  </si>
  <si>
    <t xml:space="preserve">支持录制充电桩：标记当前位置为充电桩，含交接点姿态</t>
  </si>
  <si>
    <t xml:space="preserve">CMD-14</t>
  </si>
  <si>
    <r>
      <rPr>
        <sz val="10"/>
        <rFont val="Noto Sans CJK SC"/>
        <family val="2"/>
      </rPr>
      <t xml:space="preserve">支持对路径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位置点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围栏的删除与重命名</t>
    </r>
  </si>
  <si>
    <t xml:space="preserve">CMD-15</t>
  </si>
  <si>
    <t xml:space="preserve">录制是多轮有状态流程，不是单轮槽位填充</t>
  </si>
  <si>
    <r>
      <rPr>
        <sz val="10"/>
        <rFont val="Noto Sans CJK SC"/>
        <family val="2"/>
      </rPr>
      <t xml:space="preserve">录制是多轮有状态流程，不是单轮槽位填充。需录制会话状态机（</t>
    </r>
    <r>
      <rPr>
        <sz val="10"/>
        <rFont val="Arial"/>
        <family val="0"/>
        <charset val="1"/>
      </rPr>
      <t xml:space="preserve">18 §8.2</t>
    </r>
    <r>
      <rPr>
        <sz val="10"/>
        <rFont val="Noto Sans CJK SC"/>
        <family val="2"/>
      </rPr>
      <t xml:space="preserve">）</t>
    </r>
  </si>
  <si>
    <t xml:space="preserve">CMD-16</t>
  </si>
  <si>
    <t xml:space="preserve">录制期间拒绝导航任务（会污染录制），但接受运动控制指令</t>
  </si>
  <si>
    <r>
      <rPr>
        <sz val="10"/>
        <rFont val="Noto Sans CJK SC"/>
        <family val="2"/>
      </rPr>
      <t xml:space="preserve">录制期间拒绝导航任务（会污染录制），但接受运动控制指令。
 【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补一条需求级后果】录制期的反应式避障【只保留纵向、去掉横向】 —— 纵向（减速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停车）仍生效（安全兜底不能关，操作员手滑就撞）； 横向绕行不输出（ 绕行会把车推离操作员想走的线，录不出贴边的围栏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路径，而贴边正是录制的常见诉求）。
 失效方向：保留了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停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，去掉了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绕</t>
    </r>
    <r>
      <rPr>
        <sz val="10"/>
        <rFont val="Arial"/>
        <family val="0"/>
        <charset val="1"/>
      </rPr>
      <t xml:space="preserve">" —— </t>
    </r>
    <r>
      <rPr>
        <sz val="10"/>
        <rFont val="Noto Sans CJK SC"/>
        <family val="2"/>
      </rPr>
      <t xml:space="preserve">停是安全动作，绕是可能把人开进沟里的动作。
 本文只写需求级结论，不复述实现措辞 —— 逐字表述的唯一权威在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（抑制表 </t>
    </r>
    <r>
      <rPr>
        <sz val="10"/>
        <rFont val="Arial"/>
        <family val="0"/>
        <charset val="1"/>
      </rPr>
      <t xml:space="preserve">rns_avoid </t>
    </r>
    <r>
      <rPr>
        <sz val="10"/>
        <rFont val="Noto Sans CJK SC"/>
        <family val="2"/>
      </rPr>
      <t xml:space="preserve">行）与 </t>
    </r>
    <r>
      <rPr>
        <sz val="10"/>
        <rFont val="Arial"/>
        <family val="0"/>
        <charset val="1"/>
      </rPr>
      <t xml:space="preserve">11 §12A.9.8</t>
    </r>
    <r>
      <rPr>
        <sz val="10"/>
        <rFont val="Noto Sans CJK SC"/>
        <family val="2"/>
      </rPr>
      <t xml:space="preserve">， 两处须逐字一致； </t>
    </r>
    <r>
      <rPr>
        <sz val="10"/>
        <rFont val="Arial"/>
        <family val="0"/>
        <charset val="1"/>
      </rPr>
      <t xml:space="preserve">00 </t>
    </r>
    <r>
      <rPr>
        <sz val="10"/>
        <rFont val="Noto Sans CJK SC"/>
        <family val="2"/>
      </rPr>
      <t xml:space="preserve">不再写第三份（ 理由同 </t>
    </r>
    <r>
      <rPr>
        <sz val="10"/>
        <rFont val="Arial"/>
        <family val="0"/>
        <charset val="1"/>
      </rPr>
      <t xml:space="preserve">§4.10.1</t>
    </r>
    <r>
      <rPr>
        <sz val="10"/>
        <rFont val="Noto Sans CJK SC"/>
        <family val="2"/>
      </rPr>
      <t xml:space="preserve">：复述必然脱节）</t>
    </r>
  </si>
  <si>
    <t xml:space="preserve">CMD-17</t>
  </si>
  <si>
    <t xml:space="preserve">录制超时保护</t>
  </si>
  <si>
    <r>
      <rPr>
        <sz val="10"/>
        <rFont val="Noto Sans CJK SC"/>
        <family val="2"/>
      </rPr>
      <t xml:space="preserve">录制超时保护：超过 </t>
    </r>
    <r>
      <rPr>
        <sz val="10"/>
        <rFont val="Arial"/>
        <family val="0"/>
        <charset val="1"/>
      </rPr>
      <t xml:space="preserve">max_record_duration</t>
    </r>
    <r>
      <rPr>
        <sz val="10"/>
        <rFont val="Noto Sans CJK SC"/>
        <family val="2"/>
      </rPr>
      <t xml:space="preserve">（默认 </t>
    </r>
    <r>
      <rPr>
        <sz val="10"/>
        <rFont val="Arial"/>
        <family val="0"/>
        <charset val="1"/>
      </rPr>
      <t xml:space="preserve">30 min</t>
    </r>
    <r>
      <rPr>
        <sz val="10"/>
        <rFont val="Noto Sans CJK SC"/>
        <family val="2"/>
      </rPr>
      <t xml:space="preserve">）自动结束并提示</t>
    </r>
  </si>
  <si>
    <t xml:space="preserve">CMD-18</t>
  </si>
  <si>
    <r>
      <rPr>
        <sz val="10"/>
        <rFont val="Noto Sans CJK SC"/>
        <family val="2"/>
      </rPr>
      <t xml:space="preserve">围栏录制需自交校验（多边形自交会使内外判定失效）与最少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顶点校验</t>
    </r>
  </si>
  <si>
    <t xml:space="preserve">CMD-19</t>
  </si>
  <si>
    <r>
      <rPr>
        <sz val="10"/>
        <rFont val="Noto Sans CJK SC"/>
        <family val="2"/>
      </rPr>
      <t xml:space="preserve">围栏保存与启用需 </t>
    </r>
    <r>
      <rPr>
        <sz val="10"/>
        <rFont val="Arial"/>
        <family val="0"/>
        <charset val="1"/>
      </rPr>
      <t xml:space="preserve">L2 </t>
    </r>
    <r>
      <rPr>
        <sz val="10"/>
        <rFont val="Noto Sans CJK SC"/>
        <family val="2"/>
      </rPr>
      <t xml:space="preserve">确认 —— 围栏是安全约束（</t>
    </r>
    <r>
      <rPr>
        <sz val="10"/>
        <rFont val="Arial"/>
        <family val="0"/>
        <charset val="1"/>
      </rPr>
      <t xml:space="preserve">NAV-41</t>
    </r>
    <r>
      <rPr>
        <sz val="10"/>
        <rFont val="Noto Sans CJK SC"/>
        <family val="2"/>
      </rPr>
      <t xml:space="preserve">）</t>
    </r>
  </si>
  <si>
    <t xml:space="preserve">CMD-20</t>
  </si>
  <si>
    <r>
      <rPr>
        <sz val="10"/>
        <rFont val="Noto Sans CJK SC"/>
        <family val="2"/>
      </rPr>
      <t xml:space="preserve">待确认（</t>
    </r>
    <r>
      <rPr>
        <sz val="10"/>
        <rFont val="Arial"/>
        <family val="0"/>
        <charset val="1"/>
      </rPr>
      <t xml:space="preserve">Q-18-1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</si>
  <si>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待确认（</t>
    </r>
    <r>
      <rPr>
        <sz val="10"/>
        <rFont val="Arial"/>
        <family val="0"/>
        <charset val="1"/>
      </rPr>
      <t xml:space="preserve">Q-18-1</t>
    </r>
    <r>
      <rPr>
        <sz val="10"/>
        <rFont val="Noto Sans CJK SC"/>
        <family val="2"/>
      </rPr>
      <t xml:space="preserve">）：录制路径时机器人如何移动 —— 手柄遥控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跟随人员 </t>
    </r>
    <r>
      <rPr>
        <sz val="10"/>
        <rFont val="Arial"/>
        <family val="0"/>
        <charset val="1"/>
      </rPr>
      <t xml:space="preserve">/ HMI </t>
    </r>
    <r>
      <rPr>
        <sz val="10"/>
        <rFont val="Noto Sans CJK SC"/>
        <family val="2"/>
      </rPr>
      <t xml:space="preserve">地图标注</t>
    </r>
  </si>
  <si>
    <t xml:space="preserve">CMD-30</t>
  </si>
  <si>
    <r>
      <rPr>
        <sz val="10"/>
        <rFont val="Arial"/>
        <family val="0"/>
        <charset val="1"/>
      </rPr>
      <t xml:space="preserve">L1a / L1b </t>
    </r>
    <r>
      <rPr>
        <sz val="10"/>
        <rFont val="Noto Sans CJK SC"/>
        <family val="2"/>
      </rPr>
      <t xml:space="preserve">复述必须包含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实际将执行什么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，而非重复用户原话</t>
    </r>
  </si>
  <si>
    <r>
      <rPr>
        <sz val="10"/>
        <rFont val="Arial"/>
        <family val="0"/>
        <charset val="1"/>
      </rPr>
      <t xml:space="preserve">L1a / L1b </t>
    </r>
    <r>
      <rPr>
        <sz val="10"/>
        <rFont val="Noto Sans CJK SC"/>
        <family val="2"/>
      </rPr>
      <t xml:space="preserve">复述必须包含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实际将执行什么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，而非重复用户原话。例：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已切换到巡逻档，当前感知距离限制实际速度 零点五米每秒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（ 原例句写的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转场档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引用了 </t>
    </r>
    <r>
      <rPr>
        <sz val="10"/>
        <rFont val="Arial"/>
        <family val="0"/>
        <charset val="1"/>
      </rPr>
      <t xml:space="preserve">U33 </t>
    </r>
    <r>
      <rPr>
        <sz val="10"/>
        <rFont val="Noto Sans CJK SC"/>
        <family val="2"/>
      </rPr>
      <t xml:space="preserve">已删除的 </t>
    </r>
    <r>
      <rPr>
        <sz val="10"/>
        <rFont val="Arial"/>
        <family val="0"/>
        <charset val="1"/>
      </rPr>
      <t xml:space="preserve">transit</t>
    </r>
    <r>
      <rPr>
        <sz val="10"/>
        <rFont val="Noto Sans CJK SC"/>
        <family val="2"/>
      </rPr>
      <t xml:space="preserve">，已订正； </t>
    </r>
    <r>
      <rPr>
        <sz val="10"/>
        <rFont val="Arial"/>
        <family val="0"/>
        <charset val="1"/>
      </rPr>
      <t xml:space="preserve">U54 </t>
    </r>
    <r>
      <rPr>
        <sz val="10"/>
        <rFont val="Noto Sans CJK SC"/>
        <family val="2"/>
      </rPr>
      <t xml:space="preserve">再订正： 是 </t>
    </r>
    <r>
      <rPr>
        <sz val="10"/>
        <rFont val="Arial"/>
        <family val="0"/>
        <charset val="1"/>
      </rPr>
      <t xml:space="preserve">5 m/s </t>
    </r>
    <r>
      <rPr>
        <sz val="10"/>
        <rFont val="Noto Sans CJK SC"/>
        <family val="2"/>
      </rPr>
      <t xml:space="preserve">体系的数值，不在 </t>
    </r>
    <r>
      <rPr>
        <sz val="10"/>
        <rFont val="Arial"/>
        <family val="0"/>
        <charset val="1"/>
      </rPr>
      <t xml:space="preserve">f(d_free) </t>
    </r>
    <r>
      <rPr>
        <sz val="10"/>
        <rFont val="Noto Sans CJK SC"/>
        <family val="2"/>
      </rPr>
      <t xml:space="preserve">四段表内（</t>
    </r>
    <r>
      <rPr>
        <sz val="10"/>
        <rFont val="Arial"/>
        <family val="0"/>
        <charset val="1"/>
      </rPr>
      <t xml:space="preserve">2.0 / 0.5 / 0.2 / 0</t>
    </r>
    <r>
      <rPr>
        <sz val="10"/>
        <rFont val="Noto Sans CJK SC"/>
        <family val="2"/>
      </rPr>
      <t xml:space="preserve">），现取 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， 与 </t>
    </r>
    <r>
      <rPr>
        <sz val="10"/>
        <rFont val="Arial"/>
        <family val="0"/>
        <charset val="1"/>
      </rPr>
      <t xml:space="preserve">18 §3 A13 </t>
    </r>
    <r>
      <rPr>
        <sz val="10"/>
        <rFont val="Noto Sans CJK SC"/>
        <family val="2"/>
      </rPr>
      <t xml:space="preserve">备注「已切换到巡逻档，当前感知距离限制实际速度 </t>
    </r>
    <r>
      <rPr>
        <sz val="10"/>
        <rFont val="Arial"/>
        <family val="0"/>
        <charset val="1"/>
      </rPr>
      <t xml:space="preserve">0.5 </t>
    </r>
    <r>
      <rPr>
        <sz val="10"/>
        <rFont val="Noto Sans CJK SC"/>
        <family val="2"/>
      </rPr>
      <t xml:space="preserve">米每秒」及 </t>
    </r>
    <r>
      <rPr>
        <sz val="10"/>
        <rFont val="Arial"/>
        <family val="0"/>
        <charset val="1"/>
      </rPr>
      <t xml:space="preserve">18 §13.2 </t>
    </r>
    <r>
      <rPr>
        <sz val="10"/>
        <rFont val="Noto Sans CJK SC"/>
        <family val="2"/>
      </rPr>
      <t xml:space="preserve">的示例【数值一致】（ 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核对； 改写 —— </t>
    </r>
    <r>
      <rPr>
        <sz val="10"/>
        <rFont val="Arial"/>
        <family val="0"/>
        <charset val="1"/>
      </rPr>
      <t xml:space="preserve">18 §3 </t>
    </r>
    <r>
      <rPr>
        <sz val="10"/>
        <rFont val="Noto Sans CJK SC"/>
        <family val="2"/>
      </rPr>
      <t xml:space="preserve">写阿拉伯数字「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」、</t>
    </r>
    <r>
      <rPr>
        <sz val="10"/>
        <rFont val="Arial"/>
        <family val="0"/>
        <charset val="1"/>
      </rPr>
      <t xml:space="preserve">§13.2 </t>
    </r>
    <r>
      <rPr>
        <sz val="10"/>
        <rFont val="Noto Sans CJK SC"/>
        <family val="2"/>
      </rPr>
      <t xml:space="preserve">写中文「零点五」，措辞不同、数值同 ⇒ 只能说数值一致）—— 例句里不得出现表外的数值）</t>
    </r>
  </si>
  <si>
    <t xml:space="preserve">CMD-31</t>
  </si>
  <si>
    <r>
      <rPr>
        <sz val="10"/>
        <rFont val="Arial"/>
        <family val="0"/>
        <charset val="1"/>
      </rPr>
      <t xml:space="preserve">L2 </t>
    </r>
    <r>
      <rPr>
        <sz val="10"/>
        <rFont val="Noto Sans CJK SC"/>
        <family val="2"/>
      </rPr>
      <t xml:space="preserve">确认提示必须包含影响面（如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该路径有 </t>
    </r>
    <r>
      <rPr>
        <sz val="10"/>
        <rFont val="Arial"/>
        <family val="0"/>
        <charset val="1"/>
      </rPr>
      <t xml:space="preserve">47 </t>
    </r>
    <r>
      <rPr>
        <sz val="10"/>
        <rFont val="Noto Sans CJK SC"/>
        <family val="2"/>
      </rPr>
      <t xml:space="preserve">个点，且被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个定时任务引用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），不只是重复操作名</t>
    </r>
  </si>
  <si>
    <t xml:space="preserve">CMD-32</t>
  </si>
  <si>
    <r>
      <rPr>
        <sz val="10"/>
        <rFont val="Arial"/>
        <family val="0"/>
        <charset val="1"/>
      </rPr>
      <t xml:space="preserve">L2 </t>
    </r>
    <r>
      <rPr>
        <sz val="10"/>
        <rFont val="Noto Sans CJK SC"/>
        <family val="2"/>
      </rPr>
      <t xml:space="preserve">确认超时保护</t>
    </r>
  </si>
  <si>
    <r>
      <rPr>
        <sz val="10"/>
        <rFont val="Arial"/>
        <family val="0"/>
        <charset val="1"/>
      </rPr>
      <t xml:space="preserve">L2 </t>
    </r>
    <r>
      <rPr>
        <sz val="10"/>
        <rFont val="Noto Sans CJK SC"/>
        <family val="2"/>
      </rPr>
      <t xml:space="preserve">确认超时保护：</t>
    </r>
    <r>
      <rPr>
        <sz val="10"/>
        <rFont val="Arial"/>
        <family val="0"/>
        <charset val="1"/>
      </rPr>
      <t xml:space="preserve">15 s </t>
    </r>
    <r>
      <rPr>
        <sz val="10"/>
        <rFont val="Noto Sans CJK SC"/>
        <family val="2"/>
      </rPr>
      <t xml:space="preserve">未应答自动取消；歧义应答重问一次后取消</t>
    </r>
  </si>
  <si>
    <t xml:space="preserve">CMD-33</t>
  </si>
  <si>
    <r>
      <rPr>
        <sz val="10"/>
        <rFont val="Arial"/>
        <family val="0"/>
        <charset val="1"/>
      </rPr>
      <t xml:space="preserve">L3 </t>
    </r>
    <r>
      <rPr>
        <sz val="10"/>
        <rFont val="Noto Sans CJK SC"/>
        <family val="2"/>
      </rPr>
      <t xml:space="preserve">转人工确认，不直接拒绝（</t>
    </r>
    <r>
      <rPr>
        <sz val="10"/>
        <rFont val="Arial"/>
        <family val="0"/>
        <charset val="1"/>
      </rPr>
      <t xml:space="preserve">PAY-05</t>
    </r>
    <r>
      <rPr>
        <sz val="10"/>
        <rFont val="Noto Sans CJK SC"/>
        <family val="2"/>
      </rPr>
      <t xml:space="preserve">）</t>
    </r>
  </si>
  <si>
    <t xml:space="preserve">CMD-34</t>
  </si>
  <si>
    <r>
      <rPr>
        <sz val="10"/>
        <rFont val="Noto Sans CJK SC"/>
        <family val="2"/>
      </rPr>
      <t xml:space="preserve">危险操作（重启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关机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删除围栏）限云端通道，防现场语音误触发</t>
    </r>
  </si>
  <si>
    <t xml:space="preserve">CMD-35</t>
  </si>
  <si>
    <r>
      <rPr>
        <sz val="10"/>
        <rFont val="Arial"/>
        <family val="0"/>
        <charset val="1"/>
      </rPr>
      <t xml:space="preserve">L1a / L1b </t>
    </r>
    <r>
      <rPr>
        <sz val="10"/>
        <rFont val="Noto Sans CJK SC"/>
        <family val="2"/>
      </rPr>
      <t xml:space="preserve">的判据（满足任一 → </t>
    </r>
    <r>
      <rPr>
        <sz val="10"/>
        <rFont val="Arial"/>
        <family val="0"/>
        <charset val="1"/>
      </rPr>
      <t xml:space="preserve">L1b</t>
    </r>
    <r>
      <rPr>
        <sz val="10"/>
        <rFont val="Noto Sans CJK SC"/>
        <family val="2"/>
      </rPr>
      <t xml:space="preserve">，全不满足 → </t>
    </r>
    <r>
      <rPr>
        <sz val="10"/>
        <rFont val="Arial"/>
        <family val="0"/>
        <charset val="1"/>
      </rPr>
      <t xml:space="preserve">L1a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</si>
  <si>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L1a / L1b </t>
    </r>
    <r>
      <rPr>
        <sz val="10"/>
        <rFont val="Noto Sans CJK SC"/>
        <family val="2"/>
      </rPr>
      <t xml:space="preserve">的判据（满足任一 → </t>
    </r>
    <r>
      <rPr>
        <sz val="10"/>
        <rFont val="Arial"/>
        <family val="0"/>
        <charset val="1"/>
      </rPr>
      <t xml:space="preserve">L1b</t>
    </r>
    <r>
      <rPr>
        <sz val="10"/>
        <rFont val="Noto Sans CJK SC"/>
        <family val="2"/>
      </rPr>
      <t xml:space="preserve">，全不满足 → </t>
    </r>
    <r>
      <rPr>
        <sz val="10"/>
        <rFont val="Arial"/>
        <family val="0"/>
        <charset val="1"/>
      </rPr>
      <t xml:space="preserve">L1a</t>
    </r>
    <r>
      <rPr>
        <sz val="10"/>
        <rFont val="Noto Sans CJK SC"/>
        <family val="2"/>
      </rPr>
      <t xml:space="preserve">）：
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动作在播报窗口（</t>
    </r>
    <r>
      <rPr>
        <sz val="10"/>
        <rFont val="Arial"/>
        <family val="0"/>
        <charset val="1"/>
      </rPr>
      <t xml:space="preserve">~2.5 s</t>
    </r>
    <r>
      <rPr>
        <sz val="10"/>
        <rFont val="Noto Sans CJK SC"/>
        <family val="2"/>
      </rPr>
      <t xml:space="preserve">）内即产生收不回的对外效果 —— 声音已发出、强光已照到人、数据已删除或已覆盖
 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动作产生了本体运动或对外可观测效果，而该效果不受 </t>
    </r>
    <r>
      <rPr>
        <sz val="10"/>
        <rFont val="Arial"/>
        <family val="0"/>
        <charset val="1"/>
      </rPr>
      <t xml:space="preserve">U35 </t>
    </r>
    <r>
      <rPr>
        <sz val="10"/>
        <rFont val="Noto Sans CJK SC"/>
        <family val="2"/>
      </rPr>
      <t xml:space="preserve">软急停撤销
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动作本身会关闭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降级非语音急停通道，或改变安全相关配置
 判据的实质是：「若这个动作提前 </t>
    </r>
    <r>
      <rPr>
        <sz val="10"/>
        <rFont val="Arial"/>
        <family val="0"/>
        <charset val="1"/>
      </rPr>
      <t xml:space="preserve">2.5 s </t>
    </r>
    <r>
      <rPr>
        <sz val="10"/>
        <rFont val="Noto Sans CJK SC"/>
        <family val="2"/>
      </rPr>
      <t xml:space="preserve">发生，操作员被预告后想反悔，还来不来得及、代价是什么」</t>
    </r>
  </si>
  <si>
    <t xml:space="preserve">CMD-35a</t>
  </si>
  <si>
    <r>
      <rPr>
        <sz val="10"/>
        <rFont val="Noto Sans CJK SC"/>
        <family val="2"/>
      </rPr>
      <t xml:space="preserve">有适用前提，不可字面套用 —— 必须先问「这个动作在 </t>
    </r>
    <r>
      <rPr>
        <sz val="10"/>
        <rFont val="Arial"/>
        <family val="0"/>
        <charset val="1"/>
      </rPr>
      <t xml:space="preserve">2.5 s </t>
    </r>
    <r>
      <rPr>
        <sz val="10"/>
        <rFont val="Noto Sans CJK SC"/>
        <family val="2"/>
      </rPr>
      <t xml:space="preserve">窗口内到底产生了什么可观察的事」，再问软急停拉不拉得住</t>
    </r>
  </si>
  <si>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有适用前提，不可字面套用 —— 必须先问「这个动作在 </t>
    </r>
    <r>
      <rPr>
        <sz val="10"/>
        <rFont val="Arial"/>
        <family val="0"/>
        <charset val="1"/>
      </rPr>
      <t xml:space="preserve">2.5 s </t>
    </r>
    <r>
      <rPr>
        <sz val="10"/>
        <rFont val="Noto Sans CJK SC"/>
        <family val="2"/>
      </rPr>
      <t xml:space="preserve">窗口内到底产生了什么可观察的事」，再问软急停拉不拉得住。
 纯内部状态变更不命中 </t>
    </r>
    <r>
      <rPr>
        <sz val="10"/>
        <rFont val="Arial"/>
        <family val="0"/>
        <charset val="1"/>
      </rPr>
      <t xml:space="preserve">(b) ——</t>
    </r>
    <r>
      <rPr>
        <sz val="10"/>
        <rFont val="Noto Sans CJK SC"/>
        <family val="2"/>
      </rPr>
      <t xml:space="preserve">写库、改配置、只读查询、定时登记、进度指针前推，窗口内没有任何需要撤销的东西，让它早 </t>
    </r>
    <r>
      <rPr>
        <sz val="10"/>
        <rFont val="Arial"/>
        <family val="0"/>
        <charset val="1"/>
      </rPr>
      <t xml:space="preserve">2.5 s </t>
    </r>
    <r>
      <rPr>
        <sz val="10"/>
        <rFont val="Noto Sans CJK SC"/>
        <family val="2"/>
      </rPr>
      <t xml:space="preserve">发生现场观察不到差别。
 反例（本条就是为了防它）：把 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读成「凡不经 </t>
    </r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运动仲裁的一律 </t>
    </r>
    <r>
      <rPr>
        <sz val="10"/>
        <rFont val="Arial"/>
        <family val="0"/>
        <charset val="1"/>
      </rPr>
      <t xml:space="preserve">L1b</t>
    </r>
    <r>
      <rPr>
        <sz val="10"/>
        <rFont val="Noto Sans CJK SC"/>
        <family val="2"/>
      </rPr>
      <t xml:space="preserve">」，会得出 </t>
    </r>
    <r>
      <rPr>
        <sz val="10"/>
        <rFont val="Arial"/>
        <family val="0"/>
        <charset val="1"/>
      </rPr>
      <t xml:space="preserve">generate_report</t>
    </r>
    <r>
      <rPr>
        <sz val="10"/>
        <rFont val="Noto Sans CJK SC"/>
        <family val="2"/>
      </rPr>
      <t xml:space="preserve">（纯只读查询）、</t>
    </r>
    <r>
      <rPr>
        <sz val="10"/>
        <rFont val="Arial"/>
        <family val="0"/>
        <charset val="1"/>
      </rPr>
      <t xml:space="preserve">patrol_schedule</t>
    </r>
    <r>
      <rPr>
        <sz val="10"/>
        <rFont val="Noto Sans CJK SC"/>
        <family val="2"/>
      </rPr>
      <t xml:space="preserve">（只往 </t>
    </r>
    <r>
      <rPr>
        <sz val="10"/>
        <rFont val="Arial"/>
        <family val="0"/>
        <charset val="1"/>
      </rPr>
      <t xml:space="preserve">SQLite </t>
    </r>
    <r>
      <rPr>
        <sz val="10"/>
        <rFont val="Noto Sans CJK SC"/>
        <family val="2"/>
      </rPr>
      <t xml:space="preserve">插一行、机器人根本不动）都要等 </t>
    </r>
    <r>
      <rPr>
        <sz val="10"/>
        <rFont val="Arial"/>
        <family val="0"/>
        <charset val="1"/>
      </rPr>
      <t xml:space="preserve">2.5 s </t>
    </r>
    <r>
      <rPr>
        <sz val="10"/>
        <rFont val="Noto Sans CJK SC"/>
        <family val="2"/>
      </rPr>
      <t xml:space="preserve">的荒谬结论</t>
    </r>
  </si>
  <si>
    <t xml:space="preserve">CMD-36</t>
  </si>
  <si>
    <r>
      <rPr>
        <sz val="10"/>
        <rFont val="Noto Sans CJK SC"/>
        <family val="2"/>
      </rPr>
      <t xml:space="preserve">半双工使「语音否决窗口」在两级下都等于零 —— </t>
    </r>
    <r>
      <rPr>
        <sz val="10"/>
        <rFont val="Arial"/>
        <family val="0"/>
        <charset val="1"/>
      </rPr>
      <t xml:space="preserve">VOI-62 </t>
    </r>
    <r>
      <rPr>
        <sz val="10"/>
        <rFont val="Noto Sans CJK SC"/>
        <family val="2"/>
      </rPr>
      <t xml:space="preserve">定的是喇叭出声时强制关闭本地 </t>
    </r>
    <r>
      <rPr>
        <sz val="10"/>
        <rFont val="Arial"/>
        <family val="0"/>
        <charset val="1"/>
      </rPr>
      <t xml:space="preserve">ASR</t>
    </r>
  </si>
  <si>
    <r>
      <rPr>
        <sz val="10"/>
        <rFont val="Noto Sans CJK SC"/>
        <family val="2"/>
      </rPr>
      <t xml:space="preserve">半双工使「语音否决窗口」在两级下都等于零 —— </t>
    </r>
    <r>
      <rPr>
        <sz val="10"/>
        <rFont val="Arial"/>
        <family val="0"/>
        <charset val="1"/>
      </rPr>
      <t xml:space="preserve">VOI-62 </t>
    </r>
    <r>
      <rPr>
        <sz val="10"/>
        <rFont val="Noto Sans CJK SC"/>
        <family val="2"/>
      </rPr>
      <t xml:space="preserve">定的是喇叭出声时强制关闭本地 </t>
    </r>
    <r>
      <rPr>
        <sz val="10"/>
        <rFont val="Arial"/>
        <family val="0"/>
        <charset val="1"/>
      </rPr>
      <t xml:space="preserve">ASR</t>
    </r>
    <r>
      <rPr>
        <sz val="10"/>
        <rFont val="Noto Sans CJK SC"/>
        <family val="2"/>
      </rPr>
      <t xml:space="preserve">。
</t>
    </r>
    <r>
      <rPr>
        <sz val="10"/>
        <rFont val="Arial"/>
        <family val="0"/>
        <charset val="1"/>
      </rPr>
      <t xml:space="preserve">· L1a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在播（</t>
    </r>
    <r>
      <rPr>
        <sz val="10"/>
        <rFont val="Arial"/>
        <family val="0"/>
        <charset val="1"/>
      </rPr>
      <t xml:space="preserve">ASR </t>
    </r>
    <r>
      <rPr>
        <sz val="10"/>
        <rFont val="Noto Sans CJK SC"/>
        <family val="2"/>
      </rPr>
      <t xml:space="preserve">静音）＋ 动作同时执行 → 无语音否决
</t>
    </r>
    <r>
      <rPr>
        <sz val="10"/>
        <rFont val="Arial"/>
        <family val="0"/>
        <charset val="1"/>
      </rPr>
      <t xml:space="preserve">· L1b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在播（</t>
    </r>
    <r>
      <rPr>
        <sz val="10"/>
        <rFont val="Arial"/>
        <family val="0"/>
        <charset val="1"/>
      </rPr>
      <t xml:space="preserve">ASR </t>
    </r>
    <r>
      <rPr>
        <sz val="10"/>
        <rFont val="Noto Sans CJK SC"/>
        <family val="2"/>
      </rPr>
      <t xml:space="preserve">静音）→ 播完 → 动作在同一刻执行 → 语音否决窗口宽度 </t>
    </r>
    <r>
      <rPr>
        <sz val="10"/>
        <rFont val="Arial"/>
        <family val="0"/>
        <charset val="1"/>
      </rPr>
      <t xml:space="preserve">= 0</t>
    </r>
    <r>
      <rPr>
        <sz val="10"/>
        <rFont val="Noto Sans CJK SC"/>
        <family val="2"/>
      </rPr>
      <t xml:space="preserve">（只剩开麦与执行的 </t>
    </r>
    <r>
      <rPr>
        <sz val="10"/>
        <rFont val="Arial"/>
        <family val="0"/>
        <charset val="1"/>
      </rPr>
      <t xml:space="preserve">~300 ms </t>
    </r>
    <r>
      <rPr>
        <sz val="10"/>
        <rFont val="Noto Sans CJK SC"/>
        <family val="2"/>
      </rPr>
      <t xml:space="preserve">竞态）
 所以 </t>
    </r>
    <r>
      <rPr>
        <sz val="10"/>
        <rFont val="Arial"/>
        <family val="0"/>
        <charset val="1"/>
      </rPr>
      <t xml:space="preserve">L1b </t>
    </r>
    <r>
      <rPr>
        <sz val="10"/>
        <rFont val="Noto Sans CJK SC"/>
        <family val="2"/>
      </rPr>
      <t xml:space="preserve">的价值不是「让操作员喊停」，而是「让操作员在动作发生前 </t>
    </r>
    <r>
      <rPr>
        <sz val="10"/>
        <rFont val="Arial"/>
        <family val="0"/>
        <charset val="1"/>
      </rPr>
      <t xml:space="preserve">2.5 s </t>
    </r>
    <r>
      <rPr>
        <sz val="10"/>
        <rFont val="Noto Sans CJK SC"/>
        <family val="2"/>
      </rPr>
      <t xml:space="preserve">听到它，从而有时间去按非语音急停」。两级的差别是预告，不是语音否决。
 </t>
    </r>
    <r>
      <rPr>
        <sz val="10"/>
        <rFont val="Arial"/>
        <family val="0"/>
        <charset val="1"/>
      </rPr>
      <t xml:space="preserve">2026-07-31 </t>
    </r>
    <r>
      <rPr>
        <sz val="10"/>
        <rFont val="Noto Sans CJK SC"/>
        <family val="2"/>
      </rPr>
      <t xml:space="preserve">复核：论证成立，且理由更硬 —— </t>
    </r>
    <r>
      <rPr>
        <sz val="10"/>
        <rFont val="Arial"/>
        <family val="0"/>
        <charset val="1"/>
      </rPr>
      <t xml:space="preserve">VOI-62 </t>
    </r>
    <r>
      <rPr>
        <sz val="10"/>
        <rFont val="Noto Sans CJK SC"/>
        <family val="2"/>
      </rPr>
      <t xml:space="preserve">已由【建议】升为正式需求，其依据从「</t>
    </r>
    <r>
      <rPr>
        <sz val="10"/>
        <rFont val="Arial"/>
        <family val="0"/>
        <charset val="1"/>
      </rPr>
      <t xml:space="preserve">AEC </t>
    </r>
    <r>
      <rPr>
        <sz val="10"/>
        <rFont val="Noto Sans CJK SC"/>
        <family val="2"/>
      </rPr>
      <t xml:space="preserve">极难可靠」（工程判断）变为「</t>
    </r>
    <r>
      <rPr>
        <sz val="10"/>
        <rFont val="Arial"/>
        <family val="0"/>
        <charset val="1"/>
      </rPr>
      <t xml:space="preserve">AEC </t>
    </r>
    <r>
      <rPr>
        <sz val="10"/>
        <rFont val="Noto Sans CJK SC"/>
        <family val="2"/>
      </rPr>
      <t xml:space="preserve">没有参考信号，结构上不可能」（结构性事实）⇒ 半双工不可能被「改做 </t>
    </r>
    <r>
      <rPr>
        <sz val="10"/>
        <rFont val="Arial"/>
        <family val="0"/>
        <charset val="1"/>
      </rPr>
      <t xml:space="preserve">AEC </t>
    </r>
    <r>
      <rPr>
        <sz val="10"/>
        <rFont val="Noto Sans CJK SC"/>
        <family val="2"/>
      </rPr>
      <t xml:space="preserve">全双工」绕开，</t>
    </r>
    <r>
      <rPr>
        <sz val="10"/>
        <rFont val="Arial"/>
        <family val="0"/>
        <charset val="1"/>
      </rPr>
      <t xml:space="preserve">CMD-36 / CMD-36a </t>
    </r>
    <r>
      <rPr>
        <sz val="10"/>
        <rFont val="Noto Sans CJK SC"/>
        <family val="2"/>
      </rPr>
      <t xml:space="preserve">的前置依赖是永久的、不是临时的</t>
    </r>
  </si>
  <si>
    <t xml:space="preserve">CMD-36a</t>
  </si>
  <si>
    <t xml:space="preserve">两级都依赖非语音急停通道</t>
  </si>
  <si>
    <r>
      <rPr>
        <sz val="10"/>
        <rFont val="Noto Sans CJK SC"/>
        <family val="2"/>
      </rPr>
      <t xml:space="preserve">两级都依赖非语音急停通道：手柄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键盘急停（</t>
    </r>
    <r>
      <rPr>
        <sz val="10"/>
        <rFont val="Arial"/>
        <family val="0"/>
        <charset val="1"/>
      </rPr>
      <t xml:space="preserve">U40</t>
    </r>
    <r>
      <rPr>
        <sz val="10"/>
        <rFont val="Noto Sans CJK SC"/>
        <family val="2"/>
      </rPr>
      <t xml:space="preserve">）或 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急停链路（</t>
    </r>
    <r>
      <rPr>
        <sz val="10"/>
        <rFont val="Arial"/>
        <family val="0"/>
        <charset val="1"/>
      </rPr>
      <t xml:space="preserve">estop_path ≠ down</t>
    </r>
    <r>
      <rPr>
        <sz val="10"/>
        <rFont val="Noto Sans CJK SC"/>
        <family val="2"/>
      </rPr>
      <t xml:space="preserve">）。
 </t>
    </r>
    <r>
      <rPr>
        <sz val="10"/>
        <rFont val="Arial"/>
        <family val="0"/>
        <charset val="1"/>
      </rPr>
      <t xml:space="preserve">L1a </t>
    </r>
    <r>
      <rPr>
        <sz val="10"/>
        <rFont val="Noto Sans CJK SC"/>
        <family val="2"/>
      </rPr>
      <t xml:space="preserve">无预告 → 要求至少一路健康，否则降级 </t>
    </r>
    <r>
      <rPr>
        <sz val="10"/>
        <rFont val="Arial"/>
        <family val="0"/>
        <charset val="1"/>
      </rPr>
      <t xml:space="preserve">L1b</t>
    </r>
    <r>
      <rPr>
        <sz val="10"/>
        <rFont val="Noto Sans CJK SC"/>
        <family val="2"/>
      </rPr>
      <t xml:space="preserve">。
 </t>
    </r>
    <r>
      <rPr>
        <sz val="10"/>
        <rFont val="Arial"/>
        <family val="0"/>
        <charset val="1"/>
      </rPr>
      <t xml:space="preserve">L1b </t>
    </r>
    <r>
      <rPr>
        <sz val="10"/>
        <rFont val="Noto Sans CJK SC"/>
        <family val="2"/>
      </rPr>
      <t xml:space="preserve">若两路都不健康，则它连预告的意义都没有（听到了也无法阻止）→ 升级为 </t>
    </r>
    <r>
      <rPr>
        <sz val="10"/>
        <rFont val="Arial"/>
        <family val="0"/>
        <charset val="1"/>
      </rPr>
      <t xml:space="preserve">L2</t>
    </r>
    <r>
      <rPr>
        <sz val="10"/>
        <rFont val="Noto Sans CJK SC"/>
        <family val="2"/>
      </rPr>
      <t xml:space="preserve">（口头确认）， 不是拒绝。
 理由：</t>
    </r>
    <r>
      <rPr>
        <sz val="10"/>
        <rFont val="Arial"/>
        <family val="0"/>
        <charset val="1"/>
      </rPr>
      <t xml:space="preserve">L2 </t>
    </r>
    <r>
      <rPr>
        <sz val="10"/>
        <rFont val="Noto Sans CJK SC"/>
        <family val="2"/>
      </rPr>
      <t xml:space="preserve">的确认轮次发生在 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播完之后、麦克风已开的时刻，因此 </t>
    </r>
    <r>
      <rPr>
        <sz val="10"/>
        <rFont val="Arial"/>
        <family val="0"/>
        <charset val="1"/>
      </rPr>
      <t xml:space="preserve">L2 </t>
    </r>
    <r>
      <rPr>
        <sz val="10"/>
        <rFont val="Noto Sans CJK SC"/>
        <family val="2"/>
      </rPr>
      <t xml:space="preserve">在半双工下是可用的 —— 这是半双工唯一没有堵死的反对路径</t>
    </r>
  </si>
  <si>
    <t xml:space="preserve">CMD-36b</t>
  </si>
  <si>
    <t xml:space="preserve">通道「健康」≠「有人能按」 —— 对抗验证给出的现场场景</t>
  </si>
  <si>
    <r>
      <rPr>
        <sz val="10"/>
        <rFont val="Noto Sans CJK SC"/>
        <family val="2"/>
      </rPr>
      <t xml:space="preserve">通道「健康」≠「有人能按」 —— 对抗验证给出的现场场景：操作员双手拿着记录板（正因如此才用语音），手柄在充电柜上、</t>
    </r>
    <r>
      <rPr>
        <sz val="10"/>
        <rFont val="Arial"/>
        <family val="0"/>
        <charset val="1"/>
      </rPr>
      <t xml:space="preserve">HMI </t>
    </r>
    <r>
      <rPr>
        <sz val="10"/>
        <rFont val="Noto Sans CJK SC"/>
        <family val="2"/>
      </rPr>
      <t xml:space="preserve">在岗亭，两路都上报 </t>
    </r>
    <r>
      <rPr>
        <sz val="10"/>
        <rFont val="Arial"/>
        <family val="0"/>
        <charset val="1"/>
      </rPr>
      <t xml:space="preserve">healthy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L1a </t>
    </r>
    <r>
      <rPr>
        <sz val="10"/>
        <rFont val="Noto Sans CJK SC"/>
        <family val="2"/>
      </rPr>
      <t xml:space="preserve">准入成立，但实际上没人能在 </t>
    </r>
    <r>
      <rPr>
        <sz val="10"/>
        <rFont val="Arial"/>
        <family val="0"/>
        <charset val="1"/>
      </rPr>
      <t xml:space="preserve">2.5 s </t>
    </r>
    <r>
      <rPr>
        <sz val="10"/>
        <rFont val="Noto Sans CJK SC"/>
        <family val="2"/>
      </rPr>
      <t xml:space="preserve">内按到任何急停。
 本条不试图用软件解决（无法探测「人在不在按钮旁」），而是要求写进现场作业规程： 用语音下达运动指令时，操作员必须随身携带手柄。 待甲方确认可执行性</t>
    </r>
  </si>
  <si>
    <t xml:space="preserve">CMD-37</t>
  </si>
  <si>
    <t xml:space="preserve">失效方向</t>
  </si>
  <si>
    <r>
      <rPr>
        <sz val="10"/>
        <rFont val="Noto Sans CJK SC"/>
        <family val="2"/>
      </rPr>
      <t xml:space="preserve">失效方向：误判为 </t>
    </r>
    <r>
      <rPr>
        <sz val="10"/>
        <rFont val="Arial"/>
        <family val="0"/>
        <charset val="1"/>
      </rPr>
      <t xml:space="preserve">L1b </t>
    </r>
    <r>
      <rPr>
        <sz val="10"/>
        <rFont val="Noto Sans CJK SC"/>
        <family val="2"/>
      </rPr>
      <t xml:space="preserve">只损失 </t>
    </r>
    <r>
      <rPr>
        <sz val="10"/>
        <rFont val="Arial"/>
        <family val="0"/>
        <charset val="1"/>
      </rPr>
      <t xml:space="preserve">2.5 s </t>
    </r>
    <r>
      <rPr>
        <sz val="10"/>
        <rFont val="Noto Sans CJK SC"/>
        <family val="2"/>
      </rPr>
      <t xml:space="preserve">延迟，误判为 </t>
    </r>
    <r>
      <rPr>
        <sz val="10"/>
        <rFont val="Arial"/>
        <family val="0"/>
        <charset val="1"/>
      </rPr>
      <t xml:space="preserve">L1a </t>
    </r>
    <r>
      <rPr>
        <sz val="10"/>
        <rFont val="Noto Sans CJK SC"/>
        <family val="2"/>
      </rPr>
      <t xml:space="preserve">会在操作员被预告之前执行。 因此判定 </t>
    </r>
    <r>
      <rPr>
        <sz val="10"/>
        <rFont val="Arial"/>
        <family val="0"/>
        <charset val="1"/>
      </rPr>
      <t xml:space="preserve">fail-safe </t>
    </r>
    <r>
      <rPr>
        <sz val="10"/>
        <rFont val="Noto Sans CJK SC"/>
        <family val="2"/>
      </rPr>
      <t xml:space="preserve">偏向 </t>
    </r>
    <r>
      <rPr>
        <sz val="10"/>
        <rFont val="Arial"/>
        <family val="0"/>
        <charset val="1"/>
      </rPr>
      <t xml:space="preserve">L1b</t>
    </r>
    <r>
      <rPr>
        <sz val="10"/>
        <rFont val="Noto Sans CJK SC"/>
        <family val="2"/>
      </rPr>
      <t xml:space="preserve">。
 但把一切都判成 </t>
    </r>
    <r>
      <rPr>
        <sz val="10"/>
        <rFont val="Arial"/>
        <family val="0"/>
        <charset val="1"/>
      </rPr>
      <t xml:space="preserve">L1b </t>
    </r>
    <r>
      <rPr>
        <sz val="10"/>
        <rFont val="Noto Sans CJK SC"/>
        <family val="2"/>
      </rPr>
      <t xml:space="preserve">不是保守，是失职 —— 它让拆级失去意义。判 </t>
    </r>
    <r>
      <rPr>
        <sz val="10"/>
        <rFont val="Arial"/>
        <family val="0"/>
        <charset val="1"/>
      </rPr>
      <t xml:space="preserve">L1b </t>
    </r>
    <r>
      <rPr>
        <sz val="10"/>
        <rFont val="Noto Sans CJK SC"/>
        <family val="2"/>
      </rPr>
      <t xml:space="preserve">必须写出「提前 </t>
    </r>
    <r>
      <rPr>
        <sz val="10"/>
        <rFont val="Arial"/>
        <family val="0"/>
        <charset val="1"/>
      </rPr>
      <t xml:space="preserve">2.5 s </t>
    </r>
    <r>
      <rPr>
        <sz val="10"/>
        <rFont val="Noto Sans CJK SC"/>
        <family val="2"/>
      </rPr>
      <t xml:space="preserve">会发生的那件具体的坏事」；写不出具体坏事的，判 </t>
    </r>
    <r>
      <rPr>
        <sz val="10"/>
        <rFont val="Arial"/>
        <family val="0"/>
        <charset val="1"/>
      </rPr>
      <t xml:space="preserve">L1a</t>
    </r>
  </si>
  <si>
    <t xml:space="preserve">CMD-38</t>
  </si>
  <si>
    <r>
      <rPr>
        <sz val="10"/>
        <rFont val="Noto Sans CJK SC"/>
        <family val="2"/>
      </rPr>
      <t xml:space="preserve">现场语音（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通道）下达 </t>
    </r>
    <r>
      <rPr>
        <sz val="10"/>
        <rFont val="Arial"/>
        <family val="0"/>
        <charset val="1"/>
      </rPr>
      <t xml:space="preserve">L1a </t>
    </r>
    <r>
      <rPr>
        <sz val="10"/>
        <rFont val="Noto Sans CJK SC"/>
        <family val="2"/>
      </rPr>
      <t xml:space="preserve">指令时，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复述必须先播完「动作名」再播细节 —— 让操作员在最短时间内听到关键词</t>
    </r>
  </si>
  <si>
    <r>
      <rPr>
        <sz val="10"/>
        <rFont val="Noto Sans CJK SC"/>
        <family val="2"/>
      </rPr>
      <t xml:space="preserve">现场语音（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通道）下达 </t>
    </r>
    <r>
      <rPr>
        <sz val="10"/>
        <rFont val="Arial"/>
        <family val="0"/>
        <charset val="1"/>
      </rPr>
      <t xml:space="preserve">L1a </t>
    </r>
    <r>
      <rPr>
        <sz val="10"/>
        <rFont val="Noto Sans CJK SC"/>
        <family val="2"/>
      </rPr>
      <t xml:space="preserve">指令时，</t>
    </r>
    <r>
      <rPr>
        <sz val="10"/>
        <rFont val="Arial"/>
        <family val="0"/>
        <charset val="1"/>
      </rPr>
      <t xml:space="preserve">TTS </t>
    </r>
    <r>
      <rPr>
        <sz val="10"/>
        <rFont val="Noto Sans CJK SC"/>
        <family val="2"/>
      </rPr>
      <t xml:space="preserve">复述必须先播完「动作名」再播细节 —— 让操作员在最短时间内听到关键词。例：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沿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号路径巡逻，全长 </t>
    </r>
    <r>
      <rPr>
        <sz val="10"/>
        <rFont val="Arial"/>
        <family val="0"/>
        <charset val="1"/>
      </rPr>
      <t xml:space="preserve">750 </t>
    </r>
    <r>
      <rPr>
        <sz val="10"/>
        <rFont val="Noto Sans CJK SC"/>
        <family val="2"/>
      </rPr>
      <t xml:space="preserve">米，预计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分钟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而非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好的，我这就为您安排沿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号路径的巡逻任务</t>
    </r>
    <r>
      <rPr>
        <sz val="10"/>
        <rFont val="Arial"/>
        <family val="0"/>
        <charset val="1"/>
      </rPr>
      <t xml:space="preserve">"
 U54 </t>
    </r>
    <r>
      <rPr>
        <sz val="10"/>
        <rFont val="Noto Sans CJK SC"/>
        <family val="2"/>
      </rPr>
      <t xml:space="preserve">订正： 隐含 </t>
    </r>
    <r>
      <rPr>
        <sz val="10"/>
        <rFont val="Arial"/>
        <family val="0"/>
        <charset val="1"/>
      </rPr>
      <t xml:space="preserve">3.1 m/s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750 m ÷ 240 s</t>
    </r>
    <r>
      <rPr>
        <sz val="10"/>
        <rFont val="Noto Sans CJK SC"/>
        <family val="2"/>
      </rPr>
      <t xml:space="preserve">），是已作废的 </t>
    </r>
    <r>
      <rPr>
        <sz val="10"/>
        <rFont val="Arial"/>
        <family val="0"/>
        <charset val="1"/>
      </rPr>
      <t xml:space="preserve">3–5 m/s </t>
    </r>
    <r>
      <rPr>
        <sz val="10"/>
        <rFont val="Noto Sans CJK SC"/>
        <family val="2"/>
      </rPr>
      <t xml:space="preserve">体系。 按 </t>
    </r>
    <r>
      <rPr>
        <sz val="10"/>
        <rFont val="Arial"/>
        <family val="0"/>
        <charset val="1"/>
      </rPr>
      <t xml:space="preserve">patrol </t>
    </r>
    <r>
      <rPr>
        <sz val="10"/>
        <rFont val="Noto Sans CJK SC"/>
        <family val="2"/>
      </rPr>
      <t xml:space="preserve">上限 </t>
    </r>
    <r>
      <rPr>
        <sz val="10"/>
        <rFont val="Arial"/>
        <family val="0"/>
        <charset val="1"/>
      </rPr>
      <t xml:space="preserve">2.0 m/s </t>
    </r>
    <r>
      <rPr>
        <sz val="10"/>
        <rFont val="Noto Sans CJK SC"/>
        <family val="2"/>
      </rPr>
      <t xml:space="preserve">重算：</t>
    </r>
    <r>
      <rPr>
        <sz val="10"/>
        <rFont val="Arial"/>
        <family val="0"/>
        <charset val="1"/>
      </rPr>
      <t xml:space="preserve">750 ÷ 2.0 = 375 s ≈ 6 min</t>
    </r>
    <r>
      <rPr>
        <sz val="10"/>
        <rFont val="Noto Sans CJK SC"/>
        <family val="2"/>
      </rPr>
      <t xml:space="preserve">（ 实际落在 </t>
    </r>
    <r>
      <rPr>
        <sz val="10"/>
        <rFont val="Arial"/>
        <family val="0"/>
        <charset val="1"/>
      </rPr>
      <t xml:space="preserve">patrol </t>
    </r>
    <r>
      <rPr>
        <sz val="10"/>
        <rFont val="Noto Sans CJK SC"/>
        <family val="2"/>
      </rPr>
      <t xml:space="preserve">区间 </t>
    </r>
    <r>
      <rPr>
        <sz val="10"/>
        <rFont val="Arial"/>
        <family val="0"/>
        <charset val="1"/>
      </rPr>
      <t xml:space="preserve">1.0–2.0 ⇒ 6–12 min</t>
    </r>
    <r>
      <rPr>
        <sz val="10"/>
        <rFont val="Noto Sans CJK SC"/>
        <family val="2"/>
      </rPr>
      <t xml:space="preserve">，且遇障降到 </t>
    </r>
    <r>
      <rPr>
        <sz val="10"/>
        <rFont val="Arial"/>
        <family val="0"/>
        <charset val="1"/>
      </rPr>
      <t xml:space="preserve">0.2–0.5 </t>
    </r>
    <r>
      <rPr>
        <sz val="10"/>
        <rFont val="Noto Sans CJK SC"/>
        <family val="2"/>
      </rPr>
      <t xml:space="preserve">还会更长）。
 </t>
    </r>
    <r>
      <rPr>
        <sz val="10"/>
        <rFont val="Arial"/>
        <family val="0"/>
        <charset val="1"/>
      </rPr>
      <t xml:space="preserve">ETA </t>
    </r>
    <r>
      <rPr>
        <sz val="10"/>
        <rFont val="Noto Sans CJK SC"/>
        <family val="2"/>
      </rPr>
      <t xml:space="preserve">必须由实际速度算、不得写死 —— 见 </t>
    </r>
    <r>
      <rPr>
        <sz val="10"/>
        <rFont val="Arial"/>
        <family val="0"/>
        <charset val="1"/>
      </rPr>
      <t xml:space="preserve">15 §5.3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Q-P3-18 </t>
    </r>
    <r>
      <rPr>
        <sz val="10"/>
        <rFont val="Noto Sans CJK SC"/>
        <family val="2"/>
      </rPr>
      <t xml:space="preserve">（ </t>
    </r>
    <r>
      <rPr>
        <sz val="10"/>
        <rFont val="Arial"/>
        <family val="0"/>
        <charset val="1"/>
      </rPr>
      <t xml:space="preserve">SP-8 </t>
    </r>
    <r>
      <rPr>
        <sz val="10"/>
        <rFont val="Noto Sans CJK SC"/>
        <family val="2"/>
      </rPr>
      <t xml:space="preserve">豁免 —— 沿革句：引用的是已被取代的旧值，本行的作用正是声明它已作废）</t>
    </r>
  </si>
  <si>
    <t xml:space="preserve">CMD-40</t>
  </si>
  <si>
    <t xml:space="preserve">查询答复由确定性代码生成</t>
  </si>
  <si>
    <r>
      <rPr>
        <sz val="10"/>
        <rFont val="Noto Sans CJK SC"/>
        <family val="2"/>
      </rPr>
      <t xml:space="preserve">查询答复由确定性代码生成：从状态话题</t>
    </r>
    <r>
      <rPr>
        <sz val="10"/>
        <rFont val="Arial"/>
        <family val="0"/>
        <charset val="1"/>
      </rPr>
      <t xml:space="preserve">/SQLite </t>
    </r>
    <r>
      <rPr>
        <sz val="10"/>
        <rFont val="Noto Sans CJK SC"/>
        <family val="2"/>
      </rPr>
      <t xml:space="preserve">取真实数据 → 填模板 → </t>
    </r>
    <r>
      <rPr>
        <sz val="10"/>
        <rFont val="Arial"/>
        <family val="0"/>
        <charset val="1"/>
      </rPr>
      <t xml:space="preserve">TTS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不产生数据，最多做措辞润色</t>
    </r>
  </si>
  <si>
    <t xml:space="preserve">CMD-41</t>
  </si>
  <si>
    <t xml:space="preserve">查询覆盖</t>
  </si>
  <si>
    <r>
      <rPr>
        <sz val="10"/>
        <rFont val="Noto Sans CJK SC"/>
        <family val="2"/>
      </rPr>
      <t xml:space="preserve">查询覆盖：状态（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事件（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故障与健康（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感知（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配置（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）</t>
    </r>
  </si>
  <si>
    <t xml:space="preserve">CMD-42</t>
  </si>
  <si>
    <r>
      <rPr>
        <sz val="10"/>
        <rFont val="Noto Sans CJK SC"/>
        <family val="2"/>
      </rPr>
      <t xml:space="preserve">配置查询（有哪些路径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位置点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充电桩）有额外价值 —— 让用户知道闭集里有什么，减少说出不存在名字的概率</t>
    </r>
  </si>
  <si>
    <t xml:space="preserve">CMD-50</t>
  </si>
  <si>
    <r>
      <rPr>
        <sz val="10"/>
        <rFont val="Noto Sans CJK SC"/>
        <family val="2"/>
      </rPr>
      <t xml:space="preserve">闲聊采用白名单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预设回复，不交给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自由生成</t>
    </r>
  </si>
  <si>
    <r>
      <rPr>
        <sz val="10"/>
        <rFont val="Noto Sans CJK SC"/>
        <family val="2"/>
      </rPr>
      <t xml:space="preserve">闲聊采用白名单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预设回复，不交给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自由生成。理由：① 营区敏感场所 ② </t>
    </r>
    <r>
      <rPr>
        <sz val="10"/>
        <rFont val="Arial"/>
        <family val="0"/>
        <charset val="1"/>
      </rPr>
      <t xml:space="preserve">3B </t>
    </r>
    <r>
      <rPr>
        <sz val="10"/>
        <rFont val="Noto Sans CJK SC"/>
        <family val="2"/>
      </rPr>
      <t xml:space="preserve">模型闲聊极易跑偏 ③ 回复占用喇叭资源</t>
    </r>
  </si>
  <si>
    <t xml:space="preserve">CMD-51</t>
  </si>
  <si>
    <t xml:space="preserve">白名单</t>
  </si>
  <si>
    <r>
      <rPr>
        <sz val="10"/>
        <rFont val="Noto Sans CJK SC"/>
        <family val="2"/>
      </rPr>
      <t xml:space="preserve">白名单：问候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身份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能力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致谢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告别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时间（有数据源）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天气（明确说明无数据源）</t>
    </r>
  </si>
  <si>
    <t xml:space="preserve">CMD-52</t>
  </si>
  <si>
    <r>
      <rPr>
        <sz val="10"/>
        <rFont val="Noto Sans CJK SC"/>
        <family val="2"/>
      </rPr>
      <t xml:space="preserve">其余一律 </t>
    </r>
    <r>
      <rPr>
        <sz val="10"/>
        <rFont val="Arial"/>
        <family val="0"/>
        <charset val="1"/>
      </rPr>
      <t xml:space="preserve">out_of_scope</t>
    </r>
  </si>
  <si>
    <r>
      <rPr>
        <sz val="10"/>
        <rFont val="Noto Sans CJK SC"/>
        <family val="2"/>
      </rPr>
      <t xml:space="preserve">其余一律 </t>
    </r>
    <r>
      <rPr>
        <sz val="10"/>
        <rFont val="Arial"/>
        <family val="0"/>
        <charset val="1"/>
      </rPr>
      <t xml:space="preserve">out_of_scope</t>
    </r>
    <r>
      <rPr>
        <sz val="10"/>
        <rFont val="Noto Sans CJK SC"/>
        <family val="2"/>
      </rPr>
      <t xml:space="preserve">：礼貌拒绝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引导回业务，模板化回复</t>
    </r>
  </si>
  <si>
    <t xml:space="preserve">CMD-53</t>
  </si>
  <si>
    <r>
      <rPr>
        <sz val="10"/>
        <rFont val="Arial"/>
        <family val="0"/>
        <charset val="1"/>
      </rPr>
      <t xml:space="preserve">out_of_scope </t>
    </r>
    <r>
      <rPr>
        <sz val="10"/>
        <rFont val="Noto Sans CJK SC"/>
        <family val="2"/>
      </rPr>
      <t xml:space="preserve">频次进遥测 —— 高频说明指令集有缺口，是扩充依据</t>
    </r>
  </si>
  <si>
    <t xml:space="preserve">CMD-54</t>
  </si>
  <si>
    <r>
      <rPr>
        <sz val="10"/>
        <rFont val="Noto Sans CJK SC"/>
        <family val="2"/>
      </rPr>
      <t xml:space="preserve">同一会话连续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 </t>
    </r>
    <r>
      <rPr>
        <sz val="10"/>
        <rFont val="Arial"/>
        <family val="0"/>
        <charset val="1"/>
      </rPr>
      <t xml:space="preserve">out_of_scope → </t>
    </r>
    <r>
      <rPr>
        <sz val="10"/>
        <rFont val="Noto Sans CJK SC"/>
        <family val="2"/>
      </rPr>
      <t xml:space="preserve">主动播报能力概览</t>
    </r>
  </si>
  <si>
    <t xml:space="preserve">CMD-55</t>
  </si>
  <si>
    <r>
      <rPr>
        <sz val="10"/>
        <rFont val="Noto Sans CJK SC"/>
        <family val="2"/>
      </rPr>
      <t xml:space="preserve">待决策（</t>
    </r>
    <r>
      <rPr>
        <sz val="10"/>
        <rFont val="Arial"/>
        <family val="0"/>
        <charset val="1"/>
      </rPr>
      <t xml:space="preserve">Q-18-2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</si>
  <si>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待决策（</t>
    </r>
    <r>
      <rPr>
        <sz val="10"/>
        <rFont val="Arial"/>
        <family val="0"/>
        <charset val="1"/>
      </rPr>
      <t xml:space="preserve">Q-18-2</t>
    </r>
    <r>
      <rPr>
        <sz val="10"/>
        <rFont val="Noto Sans CJK SC"/>
        <family val="2"/>
      </rPr>
      <t xml:space="preserve">）：是否允许有限的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自由闲聊。当前默认不允许</t>
    </r>
  </si>
  <si>
    <t xml:space="preserve">CMD-60</t>
  </si>
  <si>
    <r>
      <rPr>
        <sz val="10"/>
        <rFont val="Arial"/>
        <family val="0"/>
        <charset val="1"/>
      </rPr>
      <t xml:space="preserve">latency_class = 2s </t>
    </r>
    <r>
      <rPr>
        <sz val="10"/>
        <rFont val="Noto Sans CJK SC"/>
        <family val="2"/>
      </rPr>
      <t xml:space="preserve">的指令</t>
    </r>
  </si>
  <si>
    <r>
      <rPr>
        <sz val="10"/>
        <rFont val="Arial"/>
        <family val="0"/>
        <charset val="1"/>
      </rPr>
      <t xml:space="preserve">latency_class = 2s </t>
    </r>
    <r>
      <rPr>
        <sz val="10"/>
        <rFont val="Noto Sans CJK SC"/>
        <family val="2"/>
      </rPr>
      <t xml:space="preserve">的指令：从用户说完最后一个字到底盘产生位移，</t>
    </r>
    <r>
      <rPr>
        <sz val="10"/>
        <rFont val="Arial"/>
        <family val="0"/>
        <charset val="1"/>
      </rPr>
      <t xml:space="preserve">P95 ≤ 2.0 s</t>
    </r>
    <r>
      <rPr>
        <sz val="10"/>
        <rFont val="Noto Sans CJK SC"/>
        <family val="2"/>
      </rPr>
      <t xml:space="preserve">。适用范围＝分诊为 </t>
    </r>
    <r>
      <rPr>
        <sz val="10"/>
        <rFont val="Arial"/>
        <family val="0"/>
        <charset val="1"/>
      </rPr>
      <t xml:space="preserve">fastpath </t>
    </r>
    <r>
      <rPr>
        <sz val="10"/>
        <rFont val="Noto Sans CJK SC"/>
        <family val="2"/>
      </rPr>
      <t xml:space="preserve">且确认级别为 </t>
    </r>
    <r>
      <rPr>
        <sz val="10"/>
        <rFont val="Arial"/>
        <family val="0"/>
        <charset val="1"/>
      </rPr>
      <t xml:space="preserve">L1a/L0 </t>
    </r>
    <r>
      <rPr>
        <sz val="10"/>
        <rFont val="Noto Sans CJK SC"/>
        <family val="2"/>
      </rPr>
      <t xml:space="preserve">的指令</t>
    </r>
  </si>
  <si>
    <t xml:space="preserve">CMD-61</t>
  </si>
  <si>
    <r>
      <rPr>
        <sz val="10"/>
        <rFont val="Arial"/>
        <family val="0"/>
        <charset val="1"/>
      </rPr>
      <t xml:space="preserve">latency_class = 4s </t>
    </r>
    <r>
      <rPr>
        <sz val="10"/>
        <rFont val="Noto Sans CJK SC"/>
        <family val="2"/>
      </rPr>
      <t xml:space="preserve">的指令</t>
    </r>
  </si>
  <si>
    <r>
      <rPr>
        <sz val="10"/>
        <rFont val="Arial"/>
        <family val="0"/>
        <charset val="1"/>
      </rPr>
      <t xml:space="preserve">latency_class = 4s </t>
    </r>
    <r>
      <rPr>
        <sz val="10"/>
        <rFont val="Noto Sans CJK SC"/>
        <family val="2"/>
      </rPr>
      <t xml:space="preserve">的指令：同口径 </t>
    </r>
    <r>
      <rPr>
        <sz val="10"/>
        <rFont val="Arial"/>
        <family val="0"/>
        <charset val="1"/>
      </rPr>
      <t xml:space="preserve">P95 ≤ 4.0 s</t>
    </r>
    <r>
      <rPr>
        <sz val="10"/>
        <rFont val="Noto Sans CJK SC"/>
        <family val="2"/>
      </rPr>
      <t xml:space="preserve">。适用范围＝分诊为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的指令，以及 </t>
    </r>
    <r>
      <rPr>
        <sz val="10"/>
        <rFont val="Arial"/>
        <family val="0"/>
        <charset val="1"/>
      </rPr>
      <t xml:space="preserve">fastpath_then_llm </t>
    </r>
    <r>
      <rPr>
        <sz val="10"/>
        <rFont val="Noto Sans CJK SC"/>
        <family val="2"/>
      </rPr>
      <t xml:space="preserve">未命中正则落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的那一支</t>
    </r>
  </si>
  <si>
    <t xml:space="preserve">CMD-62</t>
  </si>
  <si>
    <r>
      <rPr>
        <sz val="10"/>
        <rFont val="Arial"/>
        <family val="0"/>
        <charset val="1"/>
      </rPr>
      <t xml:space="preserve">fastpath_then_llm </t>
    </r>
    <r>
      <rPr>
        <sz val="10"/>
        <rFont val="Noto Sans CJK SC"/>
        <family val="2"/>
      </rPr>
      <t xml:space="preserve">是双时延类 —— 命中正则走 </t>
    </r>
    <r>
      <rPr>
        <sz val="10"/>
        <rFont val="Arial"/>
        <family val="0"/>
        <charset val="1"/>
      </rPr>
      <t xml:space="preserve">CMD-60</t>
    </r>
    <r>
      <rPr>
        <sz val="10"/>
        <rFont val="Noto Sans CJK SC"/>
        <family val="2"/>
      </rPr>
      <t xml:space="preserve">，未命中落 </t>
    </r>
    <r>
      <rPr>
        <sz val="10"/>
        <rFont val="Arial"/>
        <family val="0"/>
        <charset val="1"/>
      </rPr>
      <t xml:space="preserve">CMD-61</t>
    </r>
  </si>
  <si>
    <r>
      <rPr>
        <sz val="10"/>
        <rFont val="Arial"/>
        <family val="0"/>
        <charset val="1"/>
      </rPr>
      <t xml:space="preserve">fastpath_then_llm </t>
    </r>
    <r>
      <rPr>
        <sz val="10"/>
        <rFont val="Noto Sans CJK SC"/>
        <family val="2"/>
      </rPr>
      <t xml:space="preserve">是双时延类 —— 命中正则走 </t>
    </r>
    <r>
      <rPr>
        <sz val="10"/>
        <rFont val="Arial"/>
        <family val="0"/>
        <charset val="1"/>
      </rPr>
      <t xml:space="preserve">CMD-60</t>
    </r>
    <r>
      <rPr>
        <sz val="10"/>
        <rFont val="Noto Sans CJK SC"/>
        <family val="2"/>
      </rPr>
      <t xml:space="preserve">，未命中落 </t>
    </r>
    <r>
      <rPr>
        <sz val="10"/>
        <rFont val="Arial"/>
        <family val="0"/>
        <charset val="1"/>
      </rPr>
      <t xml:space="preserve">CMD-61</t>
    </r>
    <r>
      <rPr>
        <sz val="10"/>
        <rFont val="Noto Sans CJK SC"/>
        <family val="2"/>
      </rPr>
      <t xml:space="preserve">。 禁止把它塌缩成单一值：塌缩成 </t>
    </r>
    <r>
      <rPr>
        <sz val="10"/>
        <rFont val="Arial"/>
        <family val="0"/>
        <charset val="1"/>
      </rPr>
      <t xml:space="preserve">2 s </t>
    </r>
    <r>
      <rPr>
        <sz val="10"/>
        <rFont val="Noto Sans CJK SC"/>
        <family val="2"/>
      </rPr>
      <t xml:space="preserve">是对现场撒谎，塌缩成 </t>
    </r>
    <r>
      <rPr>
        <sz val="10"/>
        <rFont val="Arial"/>
        <family val="0"/>
        <charset val="1"/>
      </rPr>
      <t xml:space="preserve">4 s </t>
    </r>
    <r>
      <rPr>
        <sz val="10"/>
        <rFont val="Noto Sans CJK SC"/>
        <family val="2"/>
      </rPr>
      <t xml:space="preserve">会掩盖 </t>
    </r>
    <r>
      <rPr>
        <sz val="10"/>
        <rFont val="Arial"/>
        <family val="0"/>
        <charset val="1"/>
      </rPr>
      <t xml:space="preserve">fastpath </t>
    </r>
    <r>
      <rPr>
        <sz val="10"/>
        <rFont val="Noto Sans CJK SC"/>
        <family val="2"/>
      </rPr>
      <t xml:space="preserve">的价值。遥测必须分开统计两支的命中率与时延</t>
    </r>
  </si>
  <si>
    <t xml:space="preserve">CMD-63</t>
  </si>
  <si>
    <r>
      <rPr>
        <sz val="10"/>
        <rFont val="Arial"/>
        <family val="0"/>
        <charset val="1"/>
      </rPr>
      <t xml:space="preserve">fastpath </t>
    </r>
    <r>
      <rPr>
        <sz val="10"/>
        <rFont val="Noto Sans CJK SC"/>
        <family val="2"/>
      </rPr>
      <t xml:space="preserve">覆盖率是达标开关，不是性能优化 —— </t>
    </r>
    <r>
      <rPr>
        <sz val="10"/>
        <rFont val="Arial"/>
        <family val="0"/>
        <charset val="1"/>
      </rPr>
      <t xml:space="preserve">16 §6.6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66% fastpath </t>
    </r>
    <r>
      <rPr>
        <sz val="10"/>
        <rFont val="Noto Sans CJK SC"/>
        <family val="2"/>
      </rPr>
      <t xml:space="preserve">占比直接决定多少条…</t>
    </r>
  </si>
  <si>
    <r>
      <rPr>
        <sz val="10"/>
        <rFont val="Arial"/>
        <family val="0"/>
        <charset val="1"/>
      </rPr>
      <t xml:space="preserve">fastpath </t>
    </r>
    <r>
      <rPr>
        <sz val="10"/>
        <rFont val="Noto Sans CJK SC"/>
        <family val="2"/>
      </rPr>
      <t xml:space="preserve">覆盖率是达标开关，不是性能优化 —— </t>
    </r>
    <r>
      <rPr>
        <sz val="10"/>
        <rFont val="Arial"/>
        <family val="0"/>
        <charset val="1"/>
      </rPr>
      <t xml:space="preserve">16 §6.6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66% fastpath </t>
    </r>
    <r>
      <rPr>
        <sz val="10"/>
        <rFont val="Noto Sans CJK SC"/>
        <family val="2"/>
      </rPr>
      <t xml:space="preserve">占比直接决定多少条指令能进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秒。 任何把指令从 </t>
    </r>
    <r>
      <rPr>
        <sz val="10"/>
        <rFont val="Arial"/>
        <family val="0"/>
        <charset val="1"/>
      </rPr>
      <t xml:space="preserve">fastpath </t>
    </r>
    <r>
      <rPr>
        <sz val="10"/>
        <rFont val="Noto Sans CJK SC"/>
        <family val="2"/>
      </rPr>
      <t xml:space="preserve">降级为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的改动，必须同时说明该指令的时延类是否随之从 </t>
    </r>
    <r>
      <rPr>
        <sz val="10"/>
        <rFont val="Arial"/>
        <family val="0"/>
        <charset val="1"/>
      </rPr>
      <t xml:space="preserve">2 s </t>
    </r>
    <r>
      <rPr>
        <sz val="10"/>
        <rFont val="Noto Sans CJK SC"/>
        <family val="2"/>
      </rPr>
      <t xml:space="preserve">变 </t>
    </r>
    <r>
      <rPr>
        <sz val="10"/>
        <rFont val="Arial"/>
        <family val="0"/>
        <charset val="1"/>
      </rPr>
      <t xml:space="preserve">4 s</t>
    </r>
    <r>
      <rPr>
        <sz val="10"/>
        <rFont val="Noto Sans CJK SC"/>
        <family val="2"/>
      </rPr>
      <t xml:space="preserve">，并经评审</t>
    </r>
  </si>
  <si>
    <t xml:space="preserve">CMD-64</t>
  </si>
  <si>
    <t xml:space="preserve">时延必须分段打点上报遥测</t>
  </si>
  <si>
    <r>
      <rPr>
        <sz val="10"/>
        <rFont val="Noto Sans CJK SC"/>
        <family val="2"/>
      </rPr>
      <t xml:space="preserve">时延必须分段打点上报遥测：端点判定 </t>
    </r>
    <r>
      <rPr>
        <sz val="10"/>
        <rFont val="Arial"/>
        <family val="0"/>
        <charset val="1"/>
      </rPr>
      <t xml:space="preserve">/ ASR / </t>
    </r>
    <r>
      <rPr>
        <sz val="10"/>
        <rFont val="Noto Sans CJK SC"/>
        <family val="2"/>
      </rPr>
      <t xml:space="preserve">分诊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校验 </t>
    </r>
    <r>
      <rPr>
        <sz val="10"/>
        <rFont val="Arial"/>
        <family val="0"/>
        <charset val="1"/>
      </rPr>
      <t xml:space="preserve">/ P3 / P1 </t>
    </r>
    <r>
      <rPr>
        <sz val="10"/>
        <rFont val="Noto Sans CJK SC"/>
        <family val="2"/>
      </rPr>
      <t xml:space="preserve">装载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首拍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底盘应答。 只报总时延无法归因（</t>
    </r>
    <r>
      <rPr>
        <sz val="10"/>
        <rFont val="Arial"/>
        <family val="0"/>
        <charset val="1"/>
      </rPr>
      <t xml:space="preserve">V5 ISSUE-8 </t>
    </r>
    <r>
      <rPr>
        <sz val="10"/>
        <rFont val="Noto Sans CJK SC"/>
        <family val="2"/>
      </rPr>
      <t xml:space="preserve">的教训：</t>
    </r>
    <r>
      <rPr>
        <sz val="10"/>
        <rFont val="Arial"/>
        <family val="0"/>
        <charset val="1"/>
      </rPr>
      <t xml:space="preserve">5 s </t>
    </r>
    <r>
      <rPr>
        <sz val="10"/>
        <rFont val="Noto Sans CJK SC"/>
        <family val="2"/>
      </rPr>
      <t xml:space="preserve">的真实构成靠猜了很久，打点后才钉死）</t>
    </r>
  </si>
  <si>
    <t xml:space="preserve">CMD-65</t>
  </si>
  <si>
    <r>
      <rPr>
        <sz val="10"/>
        <rFont val="Noto Sans CJK SC"/>
        <family val="2"/>
      </rPr>
      <t xml:space="preserve">待实测（</t>
    </r>
    <r>
      <rPr>
        <sz val="10"/>
        <rFont val="Arial"/>
        <family val="0"/>
        <charset val="1"/>
      </rPr>
      <t xml:space="preserve">T7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</si>
  <si>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待实测（</t>
    </r>
    <r>
      <rPr>
        <sz val="10"/>
        <rFont val="Arial"/>
        <family val="0"/>
        <charset val="1"/>
      </rPr>
      <t xml:space="preserve">T7</t>
    </r>
    <r>
      <rPr>
        <sz val="10"/>
        <rFont val="Noto Sans CJK SC"/>
        <family val="2"/>
      </rPr>
      <t xml:space="preserve">）：⑬⑭ 两项（</t>
    </r>
    <r>
      <rPr>
        <sz val="10"/>
        <rFont val="Arial"/>
        <family val="0"/>
        <charset val="1"/>
      </rPr>
      <t xml:space="preserve">quadruped→</t>
    </r>
    <r>
      <rPr>
        <sz val="10"/>
        <rFont val="Noto Sans CJK SC"/>
        <family val="2"/>
      </rPr>
      <t xml:space="preserve">底盘 </t>
    </r>
    <r>
      <rPr>
        <sz val="10"/>
        <rFont val="Arial"/>
        <family val="0"/>
        <charset val="1"/>
      </rPr>
      <t xml:space="preserve">SDK</t>
    </r>
    <r>
      <rPr>
        <sz val="10"/>
        <rFont val="Noto Sans CJK SC"/>
        <family val="2"/>
      </rPr>
      <t xml:space="preserve">、四足起步相位）是唯一的达标风险点。 上装侧吃掉 </t>
    </r>
    <r>
      <rPr>
        <sz val="10"/>
        <rFont val="Arial"/>
        <family val="0"/>
        <charset val="1"/>
      </rPr>
      <t xml:space="preserve">0.85–1.32 s </t>
    </r>
    <r>
      <rPr>
        <sz val="10"/>
        <rFont val="Noto Sans CJK SC"/>
        <family val="2"/>
      </rPr>
      <t xml:space="preserve">后，留给底盘的余量只有 </t>
    </r>
    <r>
      <rPr>
        <sz val="10"/>
        <rFont val="Arial"/>
        <family val="0"/>
        <charset val="1"/>
      </rPr>
      <t xml:space="preserve">0.68–1.15 s</t>
    </r>
    <r>
      <rPr>
        <sz val="10"/>
        <rFont val="Noto Sans CJK SC"/>
        <family val="2"/>
      </rPr>
      <t xml:space="preserve">；四足起步一个步态相位典型 </t>
    </r>
    <r>
      <rPr>
        <sz val="10"/>
        <rFont val="Arial"/>
        <family val="0"/>
        <charset val="1"/>
      </rPr>
      <t xml:space="preserve">0.3–0.5 s</t>
    </r>
    <r>
      <rPr>
        <sz val="10"/>
        <rFont val="Noto Sans CJK SC"/>
        <family val="2"/>
      </rPr>
      <t xml:space="preserve">，能进但不宽裕</t>
    </r>
  </si>
  <si>
    <t xml:space="preserve">CMD-66</t>
  </si>
  <si>
    <t xml:space="preserve">待核实</t>
  </si>
  <si>
    <r>
      <rPr>
        <sz val="10"/>
        <rFont val="Noto Sans CJK SC"/>
        <family val="2"/>
      </rPr>
      <t xml:space="preserve">待核实：</t>
    </r>
    <r>
      <rPr>
        <sz val="10"/>
        <rFont val="Arial"/>
        <family val="0"/>
        <charset val="1"/>
      </rPr>
      <t xml:space="preserve">11 §8.1 </t>
    </r>
    <r>
      <rPr>
        <sz val="10"/>
        <rFont val="Noto Sans CJK SC"/>
        <family val="2"/>
      </rPr>
      <t xml:space="preserve">的「抖动缓冲 </t>
    </r>
    <r>
      <rPr>
        <sz val="10"/>
        <rFont val="Arial"/>
        <family val="0"/>
        <charset val="1"/>
      </rPr>
      <t xml:space="preserve">100–200 ms</t>
    </r>
    <r>
      <rPr>
        <sz val="10"/>
        <rFont val="Noto Sans CJK SC"/>
        <family val="2"/>
      </rPr>
      <t xml:space="preserve">」若同时作用在 </t>
    </r>
    <r>
      <rPr>
        <sz val="10"/>
        <rFont val="Arial"/>
        <family val="0"/>
        <charset val="1"/>
      </rPr>
      <t xml:space="preserve">mic </t>
    </r>
    <r>
      <rPr>
        <sz val="10"/>
        <rFont val="Noto Sans CJK SC"/>
        <family val="2"/>
      </rPr>
      <t xml:space="preserve">上行（而非只在 </t>
    </r>
    <r>
      <rPr>
        <sz val="10"/>
        <rFont val="Arial"/>
        <family val="0"/>
        <charset val="1"/>
      </rPr>
      <t xml:space="preserve">play </t>
    </r>
    <r>
      <rPr>
        <sz val="10"/>
        <rFont val="Noto Sans CJK SC"/>
        <family val="2"/>
      </rPr>
      <t xml:space="preserve">下行），环节 ② 将从 </t>
    </r>
    <r>
      <rPr>
        <sz val="10"/>
        <rFont val="Arial"/>
        <family val="0"/>
        <charset val="1"/>
      </rPr>
      <t xml:space="preserve">20–40 ms </t>
    </r>
    <r>
      <rPr>
        <sz val="10"/>
        <rFont val="Noto Sans CJK SC"/>
        <family val="2"/>
      </rPr>
      <t xml:space="preserve">变成 </t>
    </r>
    <r>
      <rPr>
        <sz val="10"/>
        <rFont val="Arial"/>
        <family val="0"/>
        <charset val="1"/>
      </rPr>
      <t xml:space="preserve">120–240 ms</t>
    </r>
    <r>
      <rPr>
        <sz val="10"/>
        <rFont val="Noto Sans CJK SC"/>
        <family val="2"/>
      </rPr>
      <t xml:space="preserve">，直接吃掉 </t>
    </r>
    <r>
      <rPr>
        <sz val="10"/>
        <rFont val="Arial"/>
        <family val="0"/>
        <charset val="1"/>
      </rPr>
      <t xml:space="preserve">0.2 s </t>
    </r>
    <r>
      <rPr>
        <sz val="10"/>
        <rFont val="Noto Sans CJK SC"/>
        <family val="2"/>
      </rPr>
      <t xml:space="preserve">余量。 落地时必须明确该缓冲只加在下行</t>
    </r>
  </si>
  <si>
    <r>
      <rPr>
        <sz val="10"/>
        <rFont val="Noto Sans CJK SC"/>
        <family val="2"/>
      </rPr>
      <t xml:space="preserve">附</t>
    </r>
    <r>
      <rPr>
        <sz val="10"/>
        <rFont val="Arial"/>
        <family val="0"/>
        <charset val="1"/>
      </rPr>
      <t xml:space="preserve">-NFR / 15.1 </t>
    </r>
    <r>
      <rPr>
        <sz val="10"/>
        <rFont val="Noto Sans CJK SC"/>
        <family val="2"/>
      </rPr>
      <t xml:space="preserve">性能</t>
    </r>
  </si>
  <si>
    <t xml:space="preserve">NFR-01</t>
  </si>
  <si>
    <r>
      <rPr>
        <sz val="10"/>
        <rFont val="Noto Sans CJK SC"/>
        <family val="2"/>
      </rPr>
      <t xml:space="preserve">端到端反应延迟（曝光 → 底盘收到指令） 待 </t>
    </r>
    <r>
      <rPr>
        <sz val="10"/>
        <rFont val="Arial"/>
        <family val="0"/>
        <charset val="1"/>
      </rPr>
      <t xml:space="preserve">T7 </t>
    </r>
    <r>
      <rPr>
        <sz val="10"/>
        <rFont val="Noto Sans CJK SC"/>
        <family val="2"/>
      </rPr>
      <t xml:space="preserve">实测</t>
    </r>
  </si>
  <si>
    <r>
      <rPr>
        <sz val="10"/>
        <rFont val="Noto Sans CJK SC"/>
        <family val="2"/>
      </rPr>
      <t xml:space="preserve">端到端反应延迟（曝光 → 底盘收到指令） 待 </t>
    </r>
    <r>
      <rPr>
        <sz val="10"/>
        <rFont val="Arial"/>
        <family val="0"/>
        <charset val="1"/>
      </rPr>
      <t xml:space="preserve">T7 </t>
    </r>
    <r>
      <rPr>
        <sz val="10"/>
        <rFont val="Noto Sans CJK SC"/>
        <family val="2"/>
      </rPr>
      <t xml:space="preserve">实测。 订正（</t>
    </r>
    <r>
      <rPr>
        <sz val="10"/>
        <rFont val="Arial"/>
        <family val="0"/>
        <charset val="1"/>
      </rPr>
      <t xml:space="preserve">U54</t>
    </r>
    <r>
      <rPr>
        <sz val="10"/>
        <rFont val="Noto Sans CJK SC"/>
        <family val="2"/>
      </rPr>
      <t xml:space="preserve">）：本值不是整个 </t>
    </r>
    <r>
      <rPr>
        <sz val="10"/>
        <rFont val="Arial"/>
        <family val="0"/>
        <charset val="1"/>
      </rPr>
      <t xml:space="preserve">t_</t>
    </r>
    <r>
      <rPr>
        <sz val="10"/>
        <rFont val="Noto Sans CJK SC"/>
        <family val="2"/>
      </rPr>
      <t xml:space="preserve">延迟，而是它的上装侧那一半 —— </t>
    </r>
    <r>
      <rPr>
        <sz val="10"/>
        <rFont val="Arial"/>
        <family val="0"/>
        <charset val="1"/>
      </rPr>
      <t xml:space="preserve">t_</t>
    </r>
    <r>
      <rPr>
        <sz val="10"/>
        <rFont val="Noto Sans CJK SC"/>
        <family val="2"/>
      </rPr>
      <t xml:space="preserve">延迟 </t>
    </r>
    <r>
      <rPr>
        <sz val="10"/>
        <rFont val="Arial"/>
        <family val="0"/>
        <charset val="1"/>
      </rPr>
      <t xml:space="preserve">= NFR-01 </t>
    </r>
    <r>
      <rPr>
        <sz val="10"/>
        <rFont val="Noto Sans CJK SC"/>
        <family val="2"/>
      </rPr>
      <t xml:space="preserve">＋ 底盘运控接收处理（</t>
    </r>
    <r>
      <rPr>
        <sz val="10"/>
        <rFont val="Arial"/>
        <family val="0"/>
        <charset val="1"/>
      </rPr>
      <t xml:space="preserve">50~200 ms</t>
    </r>
    <r>
      <rPr>
        <sz val="10"/>
        <rFont val="Noto Sans CJK SC"/>
        <family val="2"/>
      </rPr>
      <t xml:space="preserve">，云深处黑盒），现按上界合计 </t>
    </r>
    <r>
      <rPr>
        <sz val="10"/>
        <rFont val="Arial"/>
        <family val="0"/>
        <charset val="1"/>
      </rPr>
      <t xml:space="preserve">0.4 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§3.8.2</t>
    </r>
    <r>
      <rPr>
        <sz val="10"/>
        <rFont val="Noto Sans CJK SC"/>
        <family val="2"/>
      </rPr>
      <t xml:space="preserve">）。 工作假设 </t>
    </r>
    <r>
      <rPr>
        <sz val="10"/>
        <rFont val="Arial"/>
        <family val="0"/>
        <charset val="1"/>
      </rPr>
      <t xml:space="preserve">NFR-01 ≈ 200 ms</t>
    </r>
    <r>
      <rPr>
        <sz val="10"/>
        <rFont val="Noto Sans CJK SC"/>
        <family val="2"/>
      </rPr>
      <t xml:space="preserve">；若 </t>
    </r>
    <r>
      <rPr>
        <sz val="10"/>
        <rFont val="Arial"/>
        <family val="0"/>
        <charset val="1"/>
      </rPr>
      <t xml:space="preserve">T7 </t>
    </r>
    <r>
      <rPr>
        <sz val="10"/>
        <rFont val="Noto Sans CJK SC"/>
        <family val="2"/>
      </rPr>
      <t xml:space="preserve">实测超出，</t>
    </r>
    <r>
      <rPr>
        <sz val="10"/>
        <rFont val="Arial"/>
        <family val="0"/>
        <charset val="1"/>
      </rPr>
      <t xml:space="preserve">D_slow = 3.0 m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f(d_free) </t>
    </r>
    <r>
      <rPr>
        <sz val="10"/>
        <rFont val="Noto Sans CJK SC"/>
        <family val="2"/>
      </rPr>
      <t xml:space="preserve">四段表必须重定标</t>
    </r>
  </si>
  <si>
    <t xml:space="preserve">【实测】按指标测量（周期、延迟、资源占用、可靠性等），记录测量方法与数值。</t>
  </si>
  <si>
    <t xml:space="preserve">NFR-02</t>
  </si>
  <si>
    <r>
      <rPr>
        <sz val="10"/>
        <rFont val="Arial"/>
        <family val="0"/>
        <charset val="1"/>
      </rPr>
      <t xml:space="preserve">YOLO </t>
    </r>
    <r>
      <rPr>
        <sz val="10"/>
        <rFont val="Noto Sans CJK SC"/>
        <family val="2"/>
      </rPr>
      <t xml:space="preserve">端到端延迟 </t>
    </r>
    <r>
      <rPr>
        <sz val="10"/>
        <rFont val="Arial"/>
        <family val="0"/>
        <charset val="1"/>
      </rPr>
      <t xml:space="preserve">P99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满载时） 待 </t>
    </r>
    <r>
      <rPr>
        <sz val="10"/>
        <rFont val="Arial"/>
        <family val="0"/>
        <charset val="1"/>
      </rPr>
      <t xml:space="preserve">T2 </t>
    </r>
    <r>
      <rPr>
        <sz val="10"/>
        <rFont val="Noto Sans CJK SC"/>
        <family val="2"/>
      </rPr>
      <t xml:space="preserve">实测后设定</t>
    </r>
  </si>
  <si>
    <t xml:space="preserve">NFR-03</t>
  </si>
  <si>
    <r>
      <rPr>
        <sz val="10"/>
        <rFont val="Arial"/>
        <family val="0"/>
        <charset val="1"/>
      </rPr>
      <t xml:space="preserve">RNS </t>
    </r>
    <r>
      <rPr>
        <sz val="10"/>
        <rFont val="Noto Sans CJK SC"/>
        <family val="2"/>
      </rPr>
      <t xml:space="preserve">控制频率 </t>
    </r>
    <r>
      <rPr>
        <sz val="10"/>
        <rFont val="Arial"/>
        <family val="0"/>
        <charset val="1"/>
      </rPr>
      <t xml:space="preserve">20 Hz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为 </t>
    </r>
    <r>
      <rPr>
        <sz val="10"/>
        <rFont val="Arial"/>
        <family val="0"/>
        <charset val="1"/>
      </rPr>
      <t xml:space="preserve">10 Hz</t>
    </r>
    <r>
      <rPr>
        <sz val="10"/>
        <rFont val="Noto Sans CJK SC"/>
        <family val="2"/>
      </rPr>
      <t xml:space="preserve">）</t>
    </r>
  </si>
  <si>
    <t xml:space="preserve">NFR-04</t>
  </si>
  <si>
    <r>
      <rPr>
        <sz val="10"/>
        <rFont val="Arial"/>
        <family val="0"/>
        <charset val="1"/>
      </rPr>
      <t xml:space="preserve">perception </t>
    </r>
    <r>
      <rPr>
        <sz val="10"/>
        <rFont val="Noto Sans CJK SC"/>
        <family val="2"/>
      </rPr>
      <t xml:space="preserve">帧率 ≥ </t>
    </r>
    <r>
      <rPr>
        <sz val="10"/>
        <rFont val="Arial"/>
        <family val="0"/>
        <charset val="1"/>
      </rPr>
      <t xml:space="preserve">20 Hz</t>
    </r>
    <r>
      <rPr>
        <sz val="10"/>
        <rFont val="Noto Sans CJK SC"/>
        <family val="2"/>
      </rPr>
      <t xml:space="preserve">（当前 </t>
    </r>
    <r>
      <rPr>
        <sz val="10"/>
        <rFont val="Arial"/>
        <family val="0"/>
        <charset val="1"/>
      </rPr>
      <t xml:space="preserve">27–30 fps</t>
    </r>
    <r>
      <rPr>
        <sz val="10"/>
        <rFont val="Noto Sans CJK SC"/>
        <family val="2"/>
      </rPr>
      <t xml:space="preserve">，需确认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满载时是否保持）</t>
    </r>
  </si>
  <si>
    <t xml:space="preserve">NFR-05</t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</si>
  <si>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推理速度 恢复至 ≈ </t>
    </r>
    <r>
      <rPr>
        <sz val="10"/>
        <rFont val="Arial"/>
        <family val="0"/>
        <charset val="1"/>
      </rPr>
      <t xml:space="preserve">26 t/s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实际为 </t>
    </r>
    <r>
      <rPr>
        <sz val="10"/>
        <rFont val="Arial"/>
        <family val="0"/>
        <charset val="1"/>
      </rPr>
      <t xml:space="preserve">14 t/s</t>
    </r>
    <r>
      <rPr>
        <sz val="10"/>
        <rFont val="Noto Sans CJK SC"/>
        <family val="2"/>
      </rPr>
      <t xml:space="preserve">）</t>
    </r>
  </si>
  <si>
    <t xml:space="preserve">NFR-06</t>
  </si>
  <si>
    <r>
      <rPr>
        <sz val="10"/>
        <rFont val="Noto Sans CJK SC"/>
        <family val="2"/>
      </rPr>
      <t xml:space="preserve">底盘指令超时判定（</t>
    </r>
    <r>
      <rPr>
        <sz val="10"/>
        <rFont val="Arial"/>
        <family val="0"/>
        <charset val="1"/>
      </rPr>
      <t xml:space="preserve">Tier 1</t>
    </r>
    <r>
      <rPr>
        <sz val="10"/>
        <rFont val="Noto Sans CJK SC"/>
        <family val="2"/>
      </rPr>
      <t xml:space="preserve">） </t>
    </r>
    <r>
      <rPr>
        <sz val="10"/>
        <rFont val="Arial"/>
        <family val="0"/>
        <charset val="1"/>
      </rPr>
      <t xml:space="preserve">200 ms</t>
    </r>
  </si>
  <si>
    <t xml:space="preserve">NFR-07</t>
  </si>
  <si>
    <r>
      <rPr>
        <sz val="10"/>
        <rFont val="Noto Sans CJK SC"/>
        <family val="2"/>
      </rPr>
      <t xml:space="preserve">统一内存占用 ≤ </t>
    </r>
    <r>
      <rPr>
        <sz val="10"/>
        <rFont val="Arial"/>
        <family val="0"/>
        <charset val="1"/>
      </rPr>
      <t xml:space="preserve">12 GB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16 GB </t>
    </r>
    <r>
      <rPr>
        <sz val="10"/>
        <rFont val="Noto Sans CJK SC"/>
        <family val="2"/>
      </rPr>
      <t xml:space="preserve">机型，留 </t>
    </r>
    <r>
      <rPr>
        <sz val="10"/>
        <rFont val="Arial"/>
        <family val="0"/>
        <charset val="1"/>
      </rPr>
      <t xml:space="preserve">4 GB </t>
    </r>
    <r>
      <rPr>
        <sz val="10"/>
        <rFont val="Noto Sans CJK SC"/>
        <family val="2"/>
      </rPr>
      <t xml:space="preserve">余量）</t>
    </r>
  </si>
  <si>
    <t xml:space="preserve">NFR-08</t>
  </si>
  <si>
    <r>
      <rPr>
        <sz val="10"/>
        <rFont val="Noto Sans CJK SC"/>
        <family val="2"/>
      </rPr>
      <t xml:space="preserve">连续运行无重启 待定（建议 ≥ </t>
    </r>
    <r>
      <rPr>
        <sz val="10"/>
        <rFont val="Arial"/>
        <family val="0"/>
        <charset val="1"/>
      </rPr>
      <t xml:space="preserve">72 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</si>
  <si>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附</t>
    </r>
    <r>
      <rPr>
        <sz val="10"/>
        <rFont val="Arial"/>
        <family val="0"/>
        <charset val="1"/>
      </rPr>
      <t xml:space="preserve">-NFR / 15.2 </t>
    </r>
    <r>
      <rPr>
        <sz val="10"/>
        <rFont val="Noto Sans CJK SC"/>
        <family val="2"/>
      </rPr>
      <t xml:space="preserve">可靠性与降级</t>
    </r>
  </si>
  <si>
    <t xml:space="preserve">NFR-10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</si>
  <si>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层全部失效 → 机器人仍能完成当前路径并停车（</t>
    </r>
    <r>
      <rPr>
        <sz val="10"/>
        <rFont val="Arial"/>
        <family val="0"/>
        <charset val="1"/>
      </rPr>
      <t xml:space="preserve">NAV-34 / AI-12</t>
    </r>
    <r>
      <rPr>
        <sz val="10"/>
        <rFont val="Noto Sans CJK SC"/>
        <family val="2"/>
      </rPr>
      <t xml:space="preserve">）</t>
    </r>
  </si>
  <si>
    <t xml:space="preserve">NFR-11</t>
  </si>
  <si>
    <r>
      <rPr>
        <sz val="10"/>
        <rFont val="Noto Sans CJK SC"/>
        <family val="2"/>
      </rPr>
      <t xml:space="preserve">上装侧失效 → 底盘 </t>
    </r>
    <r>
      <rPr>
        <sz val="10"/>
        <rFont val="Arial"/>
        <family val="0"/>
        <charset val="1"/>
      </rPr>
      <t xml:space="preserve">200 ms </t>
    </r>
    <r>
      <rPr>
        <sz val="10"/>
        <rFont val="Noto Sans CJK SC"/>
        <family val="2"/>
      </rPr>
      <t xml:space="preserve">内自动停车（</t>
    </r>
    <r>
      <rPr>
        <sz val="10"/>
        <rFont val="Arial"/>
        <family val="0"/>
        <charset val="1"/>
      </rPr>
      <t xml:space="preserve">NAV-65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Tier 1</t>
    </r>
    <r>
      <rPr>
        <sz val="10"/>
        <rFont val="Noto Sans CJK SC"/>
        <family val="2"/>
      </rPr>
      <t xml:space="preserve">）</t>
    </r>
  </si>
  <si>
    <t xml:space="preserve">NFR-12</t>
  </si>
  <si>
    <r>
      <rPr>
        <sz val="10"/>
        <rFont val="Arial"/>
        <family val="0"/>
        <charset val="1"/>
      </rPr>
      <t xml:space="preserve">Zenoh </t>
    </r>
    <r>
      <rPr>
        <sz val="10"/>
        <rFont val="Noto Sans CJK SC"/>
        <family val="2"/>
      </rPr>
      <t xml:space="preserve">云端桥失效 → 继续当前任务，禁止新任务与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模式，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秒后停车（</t>
    </r>
    <r>
      <rPr>
        <sz val="10"/>
        <rFont val="Arial"/>
        <family val="0"/>
        <charset val="1"/>
      </rPr>
      <t xml:space="preserve">COM-25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</si>
  <si>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Zenoh </t>
    </r>
    <r>
      <rPr>
        <sz val="10"/>
        <rFont val="Noto Sans CJK SC"/>
        <family val="2"/>
      </rPr>
      <t xml:space="preserve">云端桥失效 → 继续当前任务，禁止新任务与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模式，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秒后停车（</t>
    </r>
    <r>
      <rPr>
        <sz val="10"/>
        <rFont val="Arial"/>
        <family val="0"/>
        <charset val="1"/>
      </rPr>
      <t xml:space="preserve">COM-25</t>
    </r>
    <r>
      <rPr>
        <sz val="10"/>
        <rFont val="Noto Sans CJK SC"/>
        <family val="2"/>
      </rPr>
      <t xml:space="preserve">）。本地 </t>
    </r>
    <r>
      <rPr>
        <sz val="10"/>
        <rFont val="Arial"/>
        <family val="0"/>
        <charset val="1"/>
      </rPr>
      <t xml:space="preserve">RT Session </t>
    </r>
    <r>
      <rPr>
        <sz val="10"/>
        <rFont val="Noto Sans CJK SC"/>
        <family val="2"/>
      </rPr>
      <t xml:space="preserve">不受影响（</t>
    </r>
    <r>
      <rPr>
        <sz val="10"/>
        <rFont val="Arial"/>
        <family val="0"/>
        <charset val="1"/>
      </rPr>
      <t xml:space="preserve">COM-10</t>
    </r>
    <r>
      <rPr>
        <sz val="10"/>
        <rFont val="Noto Sans CJK SC"/>
        <family val="2"/>
      </rPr>
      <t xml:space="preserve">）</t>
    </r>
  </si>
  <si>
    <t xml:space="preserve">NFR-13</t>
  </si>
  <si>
    <r>
      <rPr>
        <sz val="10"/>
        <rFont val="Noto Sans CJK SC"/>
        <family val="2"/>
      </rPr>
      <t xml:space="preserve">网络断开 → 继续当前任务，失联超时后返航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停靠（</t>
    </r>
    <r>
      <rPr>
        <sz val="10"/>
        <rFont val="Arial"/>
        <family val="0"/>
        <charset val="1"/>
      </rPr>
      <t xml:space="preserve">TSK-20</t>
    </r>
    <r>
      <rPr>
        <sz val="10"/>
        <rFont val="Noto Sans CJK SC"/>
        <family val="2"/>
      </rPr>
      <t xml:space="preserve">）</t>
    </r>
  </si>
  <si>
    <t xml:space="preserve">NFR-14</t>
  </si>
  <si>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降级 → 导航、围栏、速度上限同步降级（</t>
    </r>
    <r>
      <rPr>
        <sz val="10"/>
        <rFont val="Arial"/>
        <family val="0"/>
        <charset val="1"/>
      </rPr>
      <t xml:space="preserve">NAV-03 / NAV-44 / NAV-78</t>
    </r>
    <r>
      <rPr>
        <sz val="10"/>
        <rFont val="Noto Sans CJK SC"/>
        <family val="2"/>
      </rPr>
      <t xml:space="preserve">）</t>
    </r>
  </si>
  <si>
    <t xml:space="preserve">NFR-15</t>
  </si>
  <si>
    <r>
      <rPr>
        <sz val="10"/>
        <rFont val="Noto Sans CJK SC"/>
        <family val="2"/>
      </rPr>
      <t xml:space="preserve">传感器降级 → 速度必须下降，绝不上升（</t>
    </r>
    <r>
      <rPr>
        <sz val="10"/>
        <rFont val="Arial"/>
        <family val="0"/>
        <charset val="1"/>
      </rPr>
      <t xml:space="preserve">NAV-79</t>
    </r>
    <r>
      <rPr>
        <sz val="10"/>
        <rFont val="Noto Sans CJK SC"/>
        <family val="2"/>
      </rPr>
      <t xml:space="preserve">）</t>
    </r>
  </si>
  <si>
    <t xml:space="preserve">NFR-16</t>
  </si>
  <si>
    <r>
      <rPr>
        <sz val="10"/>
        <rFont val="Noto Sans CJK SC"/>
        <family val="2"/>
      </rPr>
      <t xml:space="preserve">任何模块失效都必须有明确的降级行为，不得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静默继续运行</t>
    </r>
    <r>
      <rPr>
        <sz val="10"/>
        <rFont val="Arial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</si>
  <si>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任何模块失效都必须有明确的降级行为，不得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静默继续运行</t>
    </r>
    <r>
      <rPr>
        <sz val="10"/>
        <rFont val="Arial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</si>
  <si>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附</t>
    </r>
    <r>
      <rPr>
        <sz val="10"/>
        <rFont val="Arial"/>
        <family val="0"/>
        <charset val="1"/>
      </rPr>
      <t xml:space="preserve">-NFR / 15.3 </t>
    </r>
    <r>
      <rPr>
        <sz val="10"/>
        <rFont val="Noto Sans CJK SC"/>
        <family val="2"/>
      </rPr>
      <t xml:space="preserve">热与功耗</t>
    </r>
  </si>
  <si>
    <t xml:space="preserve">NFR-20</t>
  </si>
  <si>
    <r>
      <rPr>
        <sz val="10"/>
        <rFont val="Noto Sans CJK SC"/>
        <family val="2"/>
      </rPr>
      <t xml:space="preserve">需实测 </t>
    </r>
    <r>
      <rPr>
        <sz val="10"/>
        <rFont val="Arial"/>
        <family val="0"/>
        <charset val="1"/>
      </rPr>
      <t xml:space="preserve">Orin </t>
    </r>
    <r>
      <rPr>
        <sz val="10"/>
        <rFont val="Noto Sans CJK SC"/>
        <family val="2"/>
      </rPr>
      <t xml:space="preserve">在真实场景（户外、夏季、密闭壳体、连续数小时）的温度曲线与实际时钟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</si>
  <si>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 需实测 </t>
    </r>
    <r>
      <rPr>
        <sz val="10"/>
        <rFont val="Arial"/>
        <family val="0"/>
        <charset val="1"/>
      </rPr>
      <t xml:space="preserve">Orin </t>
    </r>
    <r>
      <rPr>
        <sz val="10"/>
        <rFont val="Noto Sans CJK SC"/>
        <family val="2"/>
      </rPr>
      <t xml:space="preserve">在真实场景（户外、夏季、密闭壳体、连续数小时）的温度曲线与实际时钟。算力预算必须基于降频后的实测值，而非 </t>
    </r>
    <r>
      <rPr>
        <sz val="10"/>
        <rFont val="Arial"/>
        <family val="0"/>
        <charset val="1"/>
      </rPr>
      <t xml:space="preserve">SUPER </t>
    </r>
    <r>
      <rPr>
        <sz val="10"/>
        <rFont val="Noto Sans CJK SC"/>
        <family val="2"/>
      </rPr>
      <t xml:space="preserve">模式标称值</t>
    </r>
  </si>
  <si>
    <t xml:space="preserve">NFR-21</t>
  </si>
  <si>
    <r>
      <rPr>
        <sz val="10"/>
        <rFont val="Noto Sans CJK SC"/>
        <family val="2"/>
      </rPr>
      <t xml:space="preserve">需确认实际运行在 </t>
    </r>
    <r>
      <rPr>
        <sz val="10"/>
        <rFont val="Arial"/>
        <family val="0"/>
        <charset val="1"/>
      </rPr>
      <t xml:space="preserve">MAXN / SUPER </t>
    </r>
    <r>
      <rPr>
        <sz val="10"/>
        <rFont val="Noto Sans CJK SC"/>
        <family val="2"/>
      </rPr>
      <t xml:space="preserve">功耗档（</t>
    </r>
    <r>
      <rPr>
        <sz val="10"/>
        <rFont val="Arial"/>
        <family val="0"/>
        <charset val="1"/>
      </rPr>
      <t xml:space="preserve">nvpmodel -q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</si>
  <si>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需确认实际运行在 </t>
    </r>
    <r>
      <rPr>
        <sz val="10"/>
        <rFont val="Arial"/>
        <family val="0"/>
        <charset val="1"/>
      </rPr>
      <t xml:space="preserve">MAXN / SUPER </t>
    </r>
    <r>
      <rPr>
        <sz val="10"/>
        <rFont val="Noto Sans CJK SC"/>
        <family val="2"/>
      </rPr>
      <t xml:space="preserve">功耗档（</t>
    </r>
    <r>
      <rPr>
        <sz val="10"/>
        <rFont val="Arial"/>
        <family val="0"/>
        <charset val="1"/>
      </rPr>
      <t xml:space="preserve">nvpmodel -q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</si>
  <si>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附</t>
    </r>
    <r>
      <rPr>
        <sz val="10"/>
        <rFont val="Arial"/>
        <family val="0"/>
        <charset val="1"/>
      </rPr>
      <t xml:space="preserve">-NFR / 15.4 </t>
    </r>
    <r>
      <rPr>
        <sz val="10"/>
        <rFont val="Noto Sans CJK SC"/>
        <family val="2"/>
      </rPr>
      <t xml:space="preserve">保密与合规</t>
    </r>
  </si>
  <si>
    <t xml:space="preserve">NFR-30</t>
  </si>
  <si>
    <t xml:space="preserve">通讯必须保密和加密，采用客户自有网络通讯模块</t>
  </si>
  <si>
    <t xml:space="preserve">NFR-31</t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</si>
  <si>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端侧运行，视频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音频数据不出设备，符合营区保密要求</t>
    </r>
  </si>
  <si>
    <t xml:space="preserve">NFR-32</t>
  </si>
  <si>
    <r>
      <rPr>
        <sz val="10"/>
        <rFont val="Noto Sans CJK SC"/>
        <family val="2"/>
      </rPr>
      <t xml:space="preserve">明确待定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待甲方（保密边界）（ </t>
    </r>
    <r>
      <rPr>
        <sz val="10"/>
        <rFont val="Arial"/>
        <family val="0"/>
        <charset val="1"/>
      </rPr>
      <t xml:space="preserve">§0.4a③ —— </t>
    </r>
    <r>
      <rPr>
        <sz val="10"/>
        <rFont val="Noto Sans CJK SC"/>
        <family val="2"/>
      </rPr>
      <t xml:space="preserve">待定期间的实现行为</t>
    </r>
  </si>
  <si>
    <r>
      <rPr>
        <sz val="10"/>
        <rFont val="Noto Sans CJK SC"/>
        <family val="2"/>
      </rPr>
      <t xml:space="preserve">明确待定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待甲方（保密边界）（ </t>
    </r>
    <r>
      <rPr>
        <sz val="10"/>
        <rFont val="Arial"/>
        <family val="0"/>
        <charset val="1"/>
      </rPr>
      <t xml:space="preserve">§0.4a③ —— </t>
    </r>
    <r>
      <rPr>
        <sz val="10"/>
        <rFont val="Noto Sans CJK SC"/>
        <family val="2"/>
      </rPr>
      <t xml:space="preserve">待定期间的实现行为：默认全部不出设备（</t>
    </r>
    <r>
      <rPr>
        <sz val="10"/>
        <rFont val="Arial"/>
        <family val="0"/>
        <charset val="1"/>
      </rPr>
      <t xml:space="preserve">NFR-31</t>
    </r>
    <r>
      <rPr>
        <sz val="10"/>
        <rFont val="Noto Sans CJK SC"/>
        <family val="2"/>
      </rPr>
      <t xml:space="preserve">），只有 </t>
    </r>
    <r>
      <rPr>
        <sz val="10"/>
        <rFont val="Arial"/>
        <family val="0"/>
        <charset val="1"/>
      </rPr>
      <t xml:space="preserve">§11.1 </t>
    </r>
    <r>
      <rPr>
        <sz val="10"/>
        <rFont val="Noto Sans CJK SC"/>
        <family val="2"/>
      </rPr>
      <t xml:space="preserve">四个平面已列明的内容可上行； 新增任何一类上行内容必须经评审并在 </t>
    </r>
    <r>
      <rPr>
        <sz val="10"/>
        <rFont val="Arial"/>
        <family val="0"/>
        <charset val="1"/>
      </rPr>
      <t xml:space="preserve">§0.4a③ </t>
    </r>
    <r>
      <rPr>
        <sz val="10"/>
        <rFont val="Noto Sans CJK SC"/>
        <family val="2"/>
      </rPr>
      <t xml:space="preserve">登记）：</t>
    </r>
  </si>
  <si>
    <t xml:space="preserve">NFR-33</t>
  </si>
  <si>
    <t xml:space="preserve">需权限与审计能力</t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</si>
  <si>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需权限与审计能力：谁下发了任务、谁触发了喊话、谁修改了围栏</t>
    </r>
  </si>
  <si>
    <t xml:space="preserve">NFR-34</t>
  </si>
  <si>
    <r>
      <rPr>
        <sz val="10"/>
        <rFont val="Noto Sans CJK SC"/>
        <family val="2"/>
      </rPr>
      <t xml:space="preserve">微信通道涉及数据经第三方服务器，与保密要求存在冲突（当前不落地，</t>
    </r>
    <r>
      <rPr>
        <sz val="10"/>
        <rFont val="Arial"/>
        <family val="0"/>
        <charset val="1"/>
      </rPr>
      <t xml:space="preserve">VOI-54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</si>
  <si>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正式需求（ 原【建议】</t>
    </r>
    <r>
      <rPr>
        <sz val="10"/>
        <rFont val="Arial"/>
        <family val="0"/>
        <charset val="1"/>
      </rPr>
      <t xml:space="preserve">·§0.4a① </t>
    </r>
    <r>
      <rPr>
        <sz val="10"/>
        <rFont val="Noto Sans CJK SC"/>
        <family val="2"/>
      </rPr>
      <t xml:space="preserve">结账 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）
微信通道涉及数据经第三方服务器，与保密要求存在冲突（当前不落地，</t>
    </r>
    <r>
      <rPr>
        <sz val="10"/>
        <rFont val="Arial"/>
        <family val="0"/>
        <charset val="1"/>
      </rPr>
      <t xml:space="preserve">VOI-54</t>
    </r>
    <r>
      <rPr>
        <sz val="10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</si>
</sst>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  <col collapsed="false" customWidth="true" hidden="false" outlineLevel="0" max="8" min="3" style="0" width="2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4" t="s">
        <v>4</v>
      </c>
    </row>
    <row r="4" customFormat="false" ht="15" hidden="false" customHeight="false" outlineLevel="0" collapsed="false">
      <c r="A4" s="2" t="s">
        <v>5</v>
      </c>
      <c r="B4" s="4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8" customFormat="false" ht="15" hidden="false" customHeight="false" outlineLevel="0" collapsed="false">
      <c r="A8" s="2" t="s">
        <v>13</v>
      </c>
      <c r="B8" s="3" t="s">
        <v>14</v>
      </c>
    </row>
    <row r="9" customFormat="false" ht="15" hidden="false" customHeight="false" outlineLevel="0" collapsed="false">
      <c r="A9" s="2" t="s">
        <v>15</v>
      </c>
      <c r="B9" s="3" t="s">
        <v>16</v>
      </c>
    </row>
    <row r="10" customFormat="false" ht="15" hidden="false" customHeight="false" outlineLevel="0" collapsed="false">
      <c r="A10" s="2" t="s">
        <v>17</v>
      </c>
      <c r="B10" s="3" t="s">
        <v>18</v>
      </c>
    </row>
    <row r="12" customFormat="false" ht="15" hidden="false" customHeight="false" outlineLevel="0" collapsed="false">
      <c r="A12" s="5" t="s">
        <v>19</v>
      </c>
    </row>
    <row r="13" customFormat="false" ht="15" hidden="false" customHeight="false" outlineLevel="0" collapsed="false">
      <c r="A13" s="6" t="s">
        <v>20</v>
      </c>
      <c r="B13" s="6" t="s">
        <v>21</v>
      </c>
      <c r="C13" s="6" t="s">
        <v>22</v>
      </c>
      <c r="D13" s="6" t="s">
        <v>23</v>
      </c>
      <c r="E13" s="6" t="s">
        <v>24</v>
      </c>
      <c r="F13" s="6" t="s">
        <v>25</v>
      </c>
      <c r="G13" s="6" t="s">
        <v>26</v>
      </c>
      <c r="H13" s="6" t="s">
        <v>27</v>
      </c>
    </row>
    <row r="14" customFormat="false" ht="15" hidden="false" customHeight="false" outlineLevel="0" collapsed="false">
      <c r="A14" s="4" t="s">
        <v>28</v>
      </c>
      <c r="B14" s="4" t="s">
        <v>29</v>
      </c>
      <c r="C14" s="3" t="s">
        <v>30</v>
      </c>
      <c r="D14" s="4" t="s">
        <v>31</v>
      </c>
      <c r="E14" s="3" t="s">
        <v>32</v>
      </c>
      <c r="F14" s="4" t="s">
        <v>33</v>
      </c>
      <c r="G14" s="3" t="s">
        <v>34</v>
      </c>
      <c r="H14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2"/>
  </cols>
  <sheetData>
    <row r="1" customFormat="false" ht="15" hidden="false" customHeight="false" outlineLevel="0" collapsed="false">
      <c r="A1" s="7" t="s">
        <v>36</v>
      </c>
      <c r="B1" s="7" t="s">
        <v>37</v>
      </c>
      <c r="C1" s="7" t="s">
        <v>32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</row>
    <row r="2" customFormat="false" ht="15" hidden="false" customHeight="false" outlineLevel="0" collapsed="false">
      <c r="A2" s="8" t="s">
        <v>44</v>
      </c>
      <c r="B2" s="9" t="n">
        <f aca="false">COUNTA('F1 导航与运动'!$C$2:$C$106)</f>
        <v>105</v>
      </c>
      <c r="C2" s="9" t="n">
        <f aca="false">COUNTIF('F1 导航与运动'!$G$2:$G$106,"通过")</f>
        <v>0</v>
      </c>
      <c r="D2" s="9" t="n">
        <f aca="false">COUNTIF('F1 导航与运动'!$G$2:$G$106,"失败")</f>
        <v>0</v>
      </c>
      <c r="E2" s="9" t="n">
        <f aca="false">COUNTIF('F1 导航与运动'!$G$2:$G$106,"阻塞")</f>
        <v>0</v>
      </c>
      <c r="F2" s="9" t="n">
        <f aca="false">COUNTIF('F1 导航与运动'!$G$2:$G$106,"不适用")</f>
        <v>0</v>
      </c>
      <c r="G2" s="9" t="n">
        <f aca="false">B2-C2-D2-E2-F2</f>
        <v>105</v>
      </c>
      <c r="H2" s="10" t="n">
        <f aca="false">IF(B2-F2=0,0,(C2+D2+E2)/(B2-F2))</f>
        <v>0</v>
      </c>
      <c r="I2" s="10" t="n">
        <f aca="false">IF(C2+D2=0,0,C2/(C2+D2))</f>
        <v>0</v>
      </c>
    </row>
    <row r="3" customFormat="false" ht="15" hidden="false" customHeight="false" outlineLevel="0" collapsed="false">
      <c r="A3" s="8" t="s">
        <v>45</v>
      </c>
      <c r="B3" s="9" t="n">
        <f aca="false">COUNTA('F2 语音交互'!$C$2:$C$39)</f>
        <v>38</v>
      </c>
      <c r="C3" s="9" t="n">
        <f aca="false">COUNTIF('F2 语音交互'!$G$2:$G$39,"通过")</f>
        <v>5</v>
      </c>
      <c r="D3" s="9" t="n">
        <f aca="false">COUNTIF('F2 语音交互'!$G$2:$G$39,"失败")</f>
        <v>0</v>
      </c>
      <c r="E3" s="9" t="n">
        <f aca="false">COUNTIF('F2 语音交互'!$G$2:$G$39,"阻塞")</f>
        <v>0</v>
      </c>
      <c r="F3" s="9" t="n">
        <f aca="false">COUNTIF('F2 语音交互'!$G$2:$G$39,"不适用")</f>
        <v>0</v>
      </c>
      <c r="G3" s="9" t="n">
        <f aca="false">B3-C3-D3-E3-F3</f>
        <v>33</v>
      </c>
      <c r="H3" s="10" t="n">
        <f aca="false">IF(B3-F3=0,0,(C3+D3+E3)/(B3-F3))</f>
        <v>0.131578947368421</v>
      </c>
      <c r="I3" s="10" t="n">
        <f aca="false">IF(C3+D3=0,0,C3/(C3+D3))</f>
        <v>1</v>
      </c>
    </row>
    <row r="4" customFormat="false" ht="15" hidden="false" customHeight="false" outlineLevel="0" collapsed="false">
      <c r="A4" s="8" t="s">
        <v>46</v>
      </c>
      <c r="B4" s="9" t="n">
        <f aca="false">COUNTA('F3 载荷控制'!$C$2:$C$39)</f>
        <v>38</v>
      </c>
      <c r="C4" s="9" t="n">
        <f aca="false">COUNTIF('F3 载荷控制'!$G$2:$G$39,"通过")</f>
        <v>1</v>
      </c>
      <c r="D4" s="9" t="n">
        <f aca="false">COUNTIF('F3 载荷控制'!$G$2:$G$39,"失败")</f>
        <v>0</v>
      </c>
      <c r="E4" s="9" t="n">
        <f aca="false">COUNTIF('F3 载荷控制'!$G$2:$G$39,"阻塞")</f>
        <v>0</v>
      </c>
      <c r="F4" s="9" t="n">
        <f aca="false">COUNTIF('F3 载荷控制'!$G$2:$G$39,"不适用")</f>
        <v>0</v>
      </c>
      <c r="G4" s="9" t="n">
        <f aca="false">B4-C4-D4-E4-F4</f>
        <v>37</v>
      </c>
      <c r="H4" s="10" t="n">
        <f aca="false">IF(B4-F4=0,0,(C4+D4+E4)/(B4-F4))</f>
        <v>0.0263157894736842</v>
      </c>
      <c r="I4" s="10" t="n">
        <f aca="false">IF(C4+D4=0,0,C4/(C4+D4))</f>
        <v>1</v>
      </c>
    </row>
    <row r="5" customFormat="false" ht="15" hidden="false" customHeight="false" outlineLevel="0" collapsed="false">
      <c r="A5" s="8" t="s">
        <v>47</v>
      </c>
      <c r="B5" s="9" t="n">
        <f aca="false">COUNTA('F4 环境感知'!$C$2:$C$32)</f>
        <v>31</v>
      </c>
      <c r="C5" s="9" t="n">
        <f aca="false">COUNTIF('F4 环境感知'!$G$2:$G$32,"通过")</f>
        <v>0</v>
      </c>
      <c r="D5" s="9" t="n">
        <f aca="false">COUNTIF('F4 环境感知'!$G$2:$G$32,"失败")</f>
        <v>0</v>
      </c>
      <c r="E5" s="9" t="n">
        <f aca="false">COUNTIF('F4 环境感知'!$G$2:$G$32,"阻塞")</f>
        <v>0</v>
      </c>
      <c r="F5" s="9" t="n">
        <f aca="false">COUNTIF('F4 环境感知'!$G$2:$G$32,"不适用")</f>
        <v>0</v>
      </c>
      <c r="G5" s="9" t="n">
        <f aca="false">B5-C5-D5-E5-F5</f>
        <v>31</v>
      </c>
      <c r="H5" s="10" t="n">
        <f aca="false">IF(B5-F5=0,0,(C5+D5+E5)/(B5-F5))</f>
        <v>0</v>
      </c>
      <c r="I5" s="10" t="n">
        <f aca="false">IF(C5+D5=0,0,C5/(C5+D5))</f>
        <v>0</v>
      </c>
    </row>
    <row r="6" customFormat="false" ht="15" hidden="false" customHeight="false" outlineLevel="0" collapsed="false">
      <c r="A6" s="8" t="s">
        <v>48</v>
      </c>
      <c r="B6" s="9" t="n">
        <f aca="false">COUNTA('F5 任务系统'!$C$2:$C$19)</f>
        <v>18</v>
      </c>
      <c r="C6" s="9" t="n">
        <f aca="false">COUNTIF('F5 任务系统'!$G$2:$G$19,"通过")</f>
        <v>0</v>
      </c>
      <c r="D6" s="9" t="n">
        <f aca="false">COUNTIF('F5 任务系统'!$G$2:$G$19,"失败")</f>
        <v>0</v>
      </c>
      <c r="E6" s="9" t="n">
        <f aca="false">COUNTIF('F5 任务系统'!$G$2:$G$19,"阻塞")</f>
        <v>0</v>
      </c>
      <c r="F6" s="9" t="n">
        <f aca="false">COUNTIF('F5 任务系统'!$G$2:$G$19,"不适用")</f>
        <v>0</v>
      </c>
      <c r="G6" s="9" t="n">
        <f aca="false">B6-C6-D6-E6-F6</f>
        <v>18</v>
      </c>
      <c r="H6" s="10" t="n">
        <f aca="false">IF(B6-F6=0,0,(C6+D6+E6)/(B6-F6))</f>
        <v>0</v>
      </c>
      <c r="I6" s="10" t="n">
        <f aca="false">IF(C6+D6=0,0,C6/(C6+D6))</f>
        <v>0</v>
      </c>
    </row>
    <row r="7" customFormat="false" ht="15" hidden="false" customHeight="false" outlineLevel="0" collapsed="false">
      <c r="A7" s="8" t="s">
        <v>49</v>
      </c>
      <c r="B7" s="9" t="n">
        <f aca="false">COUNTA('F6 事件系统'!$C$2:$C$11)</f>
        <v>10</v>
      </c>
      <c r="C7" s="9" t="n">
        <f aca="false">COUNTIF('F6 事件系统'!$G$2:$G$11,"通过")</f>
        <v>1</v>
      </c>
      <c r="D7" s="9" t="n">
        <f aca="false">COUNTIF('F6 事件系统'!$G$2:$G$11,"失败")</f>
        <v>0</v>
      </c>
      <c r="E7" s="9" t="n">
        <f aca="false">COUNTIF('F6 事件系统'!$G$2:$G$11,"阻塞")</f>
        <v>0</v>
      </c>
      <c r="F7" s="9" t="n">
        <f aca="false">COUNTIF('F6 事件系统'!$G$2:$G$11,"不适用")</f>
        <v>0</v>
      </c>
      <c r="G7" s="9" t="n">
        <f aca="false">B7-C7-D7-E7-F7</f>
        <v>9</v>
      </c>
      <c r="H7" s="10" t="n">
        <f aca="false">IF(B7-F7=0,0,(C7+D7+E7)/(B7-F7))</f>
        <v>0.1</v>
      </c>
      <c r="I7" s="10" t="n">
        <f aca="false">IF(C7+D7=0,0,C7/(C7+D7))</f>
        <v>1</v>
      </c>
    </row>
    <row r="8" customFormat="false" ht="15" hidden="false" customHeight="false" outlineLevel="0" collapsed="false">
      <c r="A8" s="8" t="s">
        <v>50</v>
      </c>
      <c r="B8" s="9" t="n">
        <f aca="false">COUNTA('F7 通信'!$C$2:$C$29)</f>
        <v>28</v>
      </c>
      <c r="C8" s="9" t="n">
        <f aca="false">COUNTIF('F7 通信'!$G$2:$G$29,"通过")</f>
        <v>0</v>
      </c>
      <c r="D8" s="9" t="n">
        <f aca="false">COUNTIF('F7 通信'!$G$2:$G$29,"失败")</f>
        <v>0</v>
      </c>
      <c r="E8" s="9" t="n">
        <f aca="false">COUNTIF('F7 通信'!$G$2:$G$29,"阻塞")</f>
        <v>0</v>
      </c>
      <c r="F8" s="9" t="n">
        <f aca="false">COUNTIF('F7 通信'!$G$2:$G$29,"不适用")</f>
        <v>0</v>
      </c>
      <c r="G8" s="9" t="n">
        <f aca="false">B8-C8-D8-E8-F8</f>
        <v>28</v>
      </c>
      <c r="H8" s="10" t="n">
        <f aca="false">IF(B8-F8=0,0,(C8+D8+E8)/(B8-F8))</f>
        <v>0</v>
      </c>
      <c r="I8" s="10" t="n">
        <f aca="false">IF(C8+D8=0,0,C8/(C8+D8))</f>
        <v>0</v>
      </c>
    </row>
    <row r="9" customFormat="false" ht="15" hidden="false" customHeight="false" outlineLevel="0" collapsed="false">
      <c r="A9" s="8" t="s">
        <v>51</v>
      </c>
      <c r="B9" s="9" t="n">
        <f aca="false">COUNTA('F8 人机界面'!$C$2:$C$14)</f>
        <v>13</v>
      </c>
      <c r="C9" s="9" t="n">
        <f aca="false">COUNTIF('F8 人机界面'!$G$2:$G$14,"通过")</f>
        <v>0</v>
      </c>
      <c r="D9" s="9" t="n">
        <f aca="false">COUNTIF('F8 人机界面'!$G$2:$G$14,"失败")</f>
        <v>0</v>
      </c>
      <c r="E9" s="9" t="n">
        <f aca="false">COUNTIF('F8 人机界面'!$G$2:$G$14,"阻塞")</f>
        <v>0</v>
      </c>
      <c r="F9" s="9" t="n">
        <f aca="false">COUNTIF('F8 人机界面'!$G$2:$G$14,"不适用")</f>
        <v>0</v>
      </c>
      <c r="G9" s="9" t="n">
        <f aca="false">B9-C9-D9-E9-F9</f>
        <v>13</v>
      </c>
      <c r="H9" s="10" t="n">
        <f aca="false">IF(B9-F9=0,0,(C9+D9+E9)/(B9-F9))</f>
        <v>0</v>
      </c>
      <c r="I9" s="10" t="n">
        <f aca="false">IF(C9+D9=0,0,C9/(C9+D9))</f>
        <v>0</v>
      </c>
    </row>
    <row r="10" customFormat="false" ht="15" hidden="false" customHeight="false" outlineLevel="0" collapsed="false">
      <c r="A10" s="8" t="s">
        <v>52</v>
      </c>
      <c r="B10" s="9" t="n">
        <f aca="false">COUNTA('F9 AI与Agent'!$C$2:$C$43)</f>
        <v>42</v>
      </c>
      <c r="C10" s="9" t="n">
        <f aca="false">COUNTIF('F9 AI与Agent'!$G$2:$G$43,"通过")</f>
        <v>0</v>
      </c>
      <c r="D10" s="9" t="n">
        <f aca="false">COUNTIF('F9 AI与Agent'!$G$2:$G$43,"失败")</f>
        <v>0</v>
      </c>
      <c r="E10" s="9" t="n">
        <f aca="false">COUNTIF('F9 AI与Agent'!$G$2:$G$43,"阻塞")</f>
        <v>0</v>
      </c>
      <c r="F10" s="9" t="n">
        <f aca="false">COUNTIF('F9 AI与Agent'!$G$2:$G$43,"不适用")</f>
        <v>0</v>
      </c>
      <c r="G10" s="9" t="n">
        <f aca="false">B10-C10-D10-E10-F10</f>
        <v>42</v>
      </c>
      <c r="H10" s="10" t="n">
        <f aca="false">IF(B10-F10=0,0,(C10+D10+E10)/(B10-F10))</f>
        <v>0</v>
      </c>
      <c r="I10" s="10" t="n">
        <f aca="false">IF(C10+D10=0,0,C10/(C10+D10))</f>
        <v>0</v>
      </c>
    </row>
    <row r="11" customFormat="false" ht="15" hidden="false" customHeight="false" outlineLevel="0" collapsed="false">
      <c r="A11" s="8" t="s">
        <v>53</v>
      </c>
      <c r="B11" s="9" t="n">
        <f aca="false">COUNTA('F10 多机'!$C$2:$C$6)</f>
        <v>5</v>
      </c>
      <c r="C11" s="9" t="n">
        <f aca="false">COUNTIF('F10 多机'!$G$2:$G$6,"通过")</f>
        <v>0</v>
      </c>
      <c r="D11" s="9" t="n">
        <f aca="false">COUNTIF('F10 多机'!$G$2:$G$6,"失败")</f>
        <v>0</v>
      </c>
      <c r="E11" s="9" t="n">
        <f aca="false">COUNTIF('F10 多机'!$G$2:$G$6,"阻塞")</f>
        <v>0</v>
      </c>
      <c r="F11" s="9" t="n">
        <f aca="false">COUNTIF('F10 多机'!$G$2:$G$6,"不适用")</f>
        <v>0</v>
      </c>
      <c r="G11" s="9" t="n">
        <f aca="false">B11-C11-D11-E11-F11</f>
        <v>5</v>
      </c>
      <c r="H11" s="10" t="n">
        <f aca="false">IF(B11-F11=0,0,(C11+D11+E11)/(B11-F11))</f>
        <v>0</v>
      </c>
      <c r="I11" s="10" t="n">
        <f aca="false">IF(C11+D11=0,0,C11/(C11+D11))</f>
        <v>0</v>
      </c>
    </row>
    <row r="12" customFormat="false" ht="15" hidden="false" customHeight="false" outlineLevel="0" collapsed="false">
      <c r="A12" s="8" t="s">
        <v>54</v>
      </c>
      <c r="B12" s="9" t="n">
        <f aca="false">COUNTA('F11 充电与续航'!$C$2:$C$27)</f>
        <v>26</v>
      </c>
      <c r="C12" s="9" t="n">
        <f aca="false">COUNTIF('F11 充电与续航'!$G$2:$G$27,"通过")</f>
        <v>0</v>
      </c>
      <c r="D12" s="9" t="n">
        <f aca="false">COUNTIF('F11 充电与续航'!$G$2:$G$27,"失败")</f>
        <v>0</v>
      </c>
      <c r="E12" s="9" t="n">
        <f aca="false">COUNTIF('F11 充电与续航'!$G$2:$G$27,"阻塞")</f>
        <v>0</v>
      </c>
      <c r="F12" s="9" t="n">
        <f aca="false">COUNTIF('F11 充电与续航'!$G$2:$G$27,"不适用")</f>
        <v>0</v>
      </c>
      <c r="G12" s="9" t="n">
        <f aca="false">B12-C12-D12-E12-F12</f>
        <v>26</v>
      </c>
      <c r="H12" s="10" t="n">
        <f aca="false">IF(B12-F12=0,0,(C12+D12+E12)/(B12-F12))</f>
        <v>0</v>
      </c>
      <c r="I12" s="10" t="n">
        <f aca="false">IF(C12+D12=0,0,C12/(C12+D12))</f>
        <v>0</v>
      </c>
    </row>
    <row r="13" customFormat="false" ht="15" hidden="false" customHeight="false" outlineLevel="0" collapsed="false">
      <c r="A13" s="8" t="s">
        <v>55</v>
      </c>
      <c r="B13" s="9" t="n">
        <f aca="false">COUNTA('F12 开机自检与健康度'!$C$2:$C$19)</f>
        <v>18</v>
      </c>
      <c r="C13" s="9" t="n">
        <f aca="false">COUNTIF('F12 开机自检与健康度'!$G$2:$G$19,"通过")</f>
        <v>0</v>
      </c>
      <c r="D13" s="9" t="n">
        <f aca="false">COUNTIF('F12 开机自检与健康度'!$G$2:$G$19,"失败")</f>
        <v>0</v>
      </c>
      <c r="E13" s="9" t="n">
        <f aca="false">COUNTIF('F12 开机自检与健康度'!$G$2:$G$19,"阻塞")</f>
        <v>0</v>
      </c>
      <c r="F13" s="9" t="n">
        <f aca="false">COUNTIF('F12 开机自检与健康度'!$G$2:$G$19,"不适用")</f>
        <v>0</v>
      </c>
      <c r="G13" s="9" t="n">
        <f aca="false">B13-C13-D13-E13-F13</f>
        <v>18</v>
      </c>
      <c r="H13" s="10" t="n">
        <f aca="false">IF(B13-F13=0,0,(C13+D13+E13)/(B13-F13))</f>
        <v>0</v>
      </c>
      <c r="I13" s="10" t="n">
        <f aca="false">IF(C13+D13=0,0,C13/(C13+D13))</f>
        <v>0</v>
      </c>
    </row>
    <row r="14" customFormat="false" ht="15" hidden="false" customHeight="false" outlineLevel="0" collapsed="false">
      <c r="A14" s="8" t="s">
        <v>56</v>
      </c>
      <c r="B14" s="9" t="n">
        <f aca="false">COUNTA('F13 工程支撑'!$C$2:$C$24)</f>
        <v>23</v>
      </c>
      <c r="C14" s="9" t="n">
        <f aca="false">COUNTIF('F13 工程支撑'!$G$2:$G$24,"通过")</f>
        <v>0</v>
      </c>
      <c r="D14" s="9" t="n">
        <f aca="false">COUNTIF('F13 工程支撑'!$G$2:$G$24,"失败")</f>
        <v>0</v>
      </c>
      <c r="E14" s="9" t="n">
        <f aca="false">COUNTIF('F13 工程支撑'!$G$2:$G$24,"阻塞")</f>
        <v>0</v>
      </c>
      <c r="F14" s="9" t="n">
        <f aca="false">COUNTIF('F13 工程支撑'!$G$2:$G$24,"不适用")</f>
        <v>0</v>
      </c>
      <c r="G14" s="9" t="n">
        <f aca="false">B14-C14-D14-E14-F14</f>
        <v>23</v>
      </c>
      <c r="H14" s="10" t="n">
        <f aca="false">IF(B14-F14=0,0,(C14+D14+E14)/(B14-F14))</f>
        <v>0</v>
      </c>
      <c r="I14" s="10" t="n">
        <f aca="false">IF(C14+D14=0,0,C14/(C14+D14))</f>
        <v>0</v>
      </c>
    </row>
    <row r="15" customFormat="false" ht="15" hidden="false" customHeight="false" outlineLevel="0" collapsed="false">
      <c r="A15" s="8" t="s">
        <v>57</v>
      </c>
      <c r="B15" s="9" t="n">
        <f aca="false">COUNTA('F14 语音文本指令集'!$C$2:$C$44)</f>
        <v>43</v>
      </c>
      <c r="C15" s="9" t="n">
        <f aca="false">COUNTIF('F14 语音文本指令集'!$G$2:$G$44,"通过")</f>
        <v>0</v>
      </c>
      <c r="D15" s="9" t="n">
        <f aca="false">COUNTIF('F14 语音文本指令集'!$G$2:$G$44,"失败")</f>
        <v>0</v>
      </c>
      <c r="E15" s="9" t="n">
        <f aca="false">COUNTIF('F14 语音文本指令集'!$G$2:$G$44,"阻塞")</f>
        <v>0</v>
      </c>
      <c r="F15" s="9" t="n">
        <f aca="false">COUNTIF('F14 语音文本指令集'!$G$2:$G$44,"不适用")</f>
        <v>0</v>
      </c>
      <c r="G15" s="9" t="n">
        <f aca="false">B15-C15-D15-E15-F15</f>
        <v>43</v>
      </c>
      <c r="H15" s="10" t="n">
        <f aca="false">IF(B15-F15=0,0,(C15+D15+E15)/(B15-F15))</f>
        <v>0</v>
      </c>
      <c r="I15" s="10" t="n">
        <f aca="false">IF(C15+D15=0,0,C15/(C15+D15))</f>
        <v>0</v>
      </c>
    </row>
    <row r="16" customFormat="false" ht="15" hidden="false" customHeight="false" outlineLevel="0" collapsed="false">
      <c r="A16" s="11" t="s">
        <v>58</v>
      </c>
      <c r="B16" s="9" t="n">
        <f aca="false">COUNTA('附-NFR 非功能'!$C$2:$C$23)</f>
        <v>22</v>
      </c>
      <c r="C16" s="9" t="n">
        <f aca="false">COUNTIF('附-NFR 非功能'!$G$2:$G$23,"通过")</f>
        <v>0</v>
      </c>
      <c r="D16" s="9" t="n">
        <f aca="false">COUNTIF('附-NFR 非功能'!$G$2:$G$23,"失败")</f>
        <v>0</v>
      </c>
      <c r="E16" s="9" t="n">
        <f aca="false">COUNTIF('附-NFR 非功能'!$G$2:$G$23,"阻塞")</f>
        <v>0</v>
      </c>
      <c r="F16" s="9" t="n">
        <f aca="false">COUNTIF('附-NFR 非功能'!$G$2:$G$23,"不适用")</f>
        <v>0</v>
      </c>
      <c r="G16" s="9" t="n">
        <f aca="false">B16-C16-D16-E16-F16</f>
        <v>22</v>
      </c>
      <c r="H16" s="10" t="n">
        <f aca="false">IF(B16-F16=0,0,(C16+D16+E16)/(B16-F16))</f>
        <v>0</v>
      </c>
      <c r="I16" s="10" t="n">
        <f aca="false">IF(C16+D16=0,0,C16/(C16+D16))</f>
        <v>0</v>
      </c>
    </row>
    <row r="17" customFormat="false" ht="15" hidden="false" customHeight="false" outlineLevel="0" collapsed="false">
      <c r="A17" s="5" t="s">
        <v>59</v>
      </c>
      <c r="B17" s="12" t="n">
        <f aca="false">SUM(B2:B16)</f>
        <v>460</v>
      </c>
      <c r="C17" s="12" t="n">
        <f aca="false">SUM(C2:C16)</f>
        <v>7</v>
      </c>
      <c r="D17" s="12" t="n">
        <f aca="false">SUM(D2:D16)</f>
        <v>0</v>
      </c>
      <c r="E17" s="12" t="n">
        <f aca="false">SUM(E2:E16)</f>
        <v>0</v>
      </c>
      <c r="F17" s="12" t="n">
        <f aca="false">SUM(F2:F16)</f>
        <v>0</v>
      </c>
      <c r="G17" s="12" t="n">
        <f aca="false">SUM(G2:G16)</f>
        <v>453</v>
      </c>
      <c r="H17" s="13" t="n">
        <f aca="false">IF(B17-F17=0,0,(C17+D17+E17)/(B17-F17))</f>
        <v>0.0152173913043478</v>
      </c>
      <c r="I17" s="13" t="n">
        <f aca="false">IF(C17+D17=0,0,C17/(C17+D17))</f>
        <v>1</v>
      </c>
    </row>
    <row r="19" customFormat="false" ht="31.5" hidden="false" customHeight="true" outlineLevel="0" collapsed="false">
      <c r="A19" s="5" t="s">
        <v>60</v>
      </c>
      <c r="B19" s="14" t="s">
        <v>61</v>
      </c>
      <c r="C19" s="14"/>
      <c r="D19" s="14"/>
      <c r="E19" s="14"/>
      <c r="F19" s="14"/>
      <c r="G19" s="14"/>
      <c r="H19" s="14"/>
      <c r="I19" s="14"/>
    </row>
  </sheetData>
  <mergeCells count="1">
    <mergeCell ref="B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7" t="s">
        <v>62</v>
      </c>
      <c r="B1" s="7" t="s">
        <v>20</v>
      </c>
      <c r="C1" s="7" t="s">
        <v>21</v>
      </c>
      <c r="D1" s="7" t="s">
        <v>22</v>
      </c>
      <c r="E1" s="7" t="s">
        <v>63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64</v>
      </c>
    </row>
    <row r="2" customFormat="false" ht="15" hidden="false" customHeight="false" outlineLevel="0" collapsed="false">
      <c r="A2" s="9" t="n">
        <v>1</v>
      </c>
      <c r="B2" s="8" t="s">
        <v>65</v>
      </c>
      <c r="C2" s="9" t="s">
        <v>66</v>
      </c>
      <c r="D2" s="11" t="s">
        <v>67</v>
      </c>
      <c r="E2" s="11" t="s">
        <v>67</v>
      </c>
      <c r="F2" s="11" t="s">
        <v>68</v>
      </c>
      <c r="G2" s="15"/>
      <c r="H2" s="16"/>
      <c r="I2" s="15"/>
      <c r="J2" s="15"/>
      <c r="K2" s="8" t="s">
        <v>69</v>
      </c>
    </row>
    <row r="3" customFormat="false" ht="15" hidden="false" customHeight="false" outlineLevel="0" collapsed="false">
      <c r="A3" s="9" t="n">
        <v>2</v>
      </c>
      <c r="B3" s="8" t="s">
        <v>65</v>
      </c>
      <c r="C3" s="9" t="s">
        <v>70</v>
      </c>
      <c r="D3" s="8" t="s">
        <v>71</v>
      </c>
      <c r="E3" s="8" t="s">
        <v>71</v>
      </c>
      <c r="F3" s="11" t="s">
        <v>68</v>
      </c>
      <c r="G3" s="15"/>
      <c r="H3" s="16"/>
      <c r="I3" s="15"/>
      <c r="J3" s="15"/>
      <c r="K3" s="8" t="s">
        <v>69</v>
      </c>
    </row>
    <row r="4" customFormat="false" ht="15" hidden="false" customHeight="false" outlineLevel="0" collapsed="false">
      <c r="A4" s="9" t="n">
        <v>3</v>
      </c>
      <c r="B4" s="8" t="s">
        <v>65</v>
      </c>
      <c r="C4" s="9" t="s">
        <v>72</v>
      </c>
      <c r="D4" s="8" t="s">
        <v>73</v>
      </c>
      <c r="E4" s="11" t="s">
        <v>74</v>
      </c>
      <c r="F4" s="11" t="s">
        <v>68</v>
      </c>
      <c r="G4" s="15"/>
      <c r="H4" s="16"/>
      <c r="I4" s="15"/>
      <c r="J4" s="15"/>
      <c r="K4" s="8" t="s">
        <v>69</v>
      </c>
    </row>
    <row r="5" customFormat="false" ht="15" hidden="false" customHeight="false" outlineLevel="0" collapsed="false">
      <c r="A5" s="9" t="n">
        <v>4</v>
      </c>
      <c r="B5" s="8" t="s">
        <v>65</v>
      </c>
      <c r="C5" s="9" t="s">
        <v>75</v>
      </c>
      <c r="D5" s="11" t="s">
        <v>76</v>
      </c>
      <c r="E5" s="11" t="s">
        <v>77</v>
      </c>
      <c r="F5" s="11" t="s">
        <v>68</v>
      </c>
      <c r="G5" s="15"/>
      <c r="H5" s="16"/>
      <c r="I5" s="15"/>
      <c r="J5" s="15"/>
      <c r="K5" s="8" t="s">
        <v>69</v>
      </c>
    </row>
    <row r="6" customFormat="false" ht="15" hidden="false" customHeight="false" outlineLevel="0" collapsed="false">
      <c r="A6" s="9" t="n">
        <v>5</v>
      </c>
      <c r="B6" s="8" t="s">
        <v>65</v>
      </c>
      <c r="C6" s="9" t="s">
        <v>78</v>
      </c>
      <c r="D6" s="8" t="s">
        <v>79</v>
      </c>
      <c r="E6" s="11" t="s">
        <v>80</v>
      </c>
      <c r="F6" s="11" t="s">
        <v>68</v>
      </c>
      <c r="G6" s="15"/>
      <c r="H6" s="16"/>
      <c r="I6" s="15"/>
      <c r="J6" s="15"/>
      <c r="K6" s="8" t="s">
        <v>69</v>
      </c>
    </row>
    <row r="7" customFormat="false" ht="15" hidden="false" customHeight="false" outlineLevel="0" collapsed="false">
      <c r="A7" s="9" t="n">
        <v>6</v>
      </c>
      <c r="B7" s="8" t="s">
        <v>65</v>
      </c>
      <c r="C7" s="9" t="s">
        <v>81</v>
      </c>
      <c r="D7" s="8" t="s">
        <v>82</v>
      </c>
      <c r="E7" s="11" t="s">
        <v>83</v>
      </c>
      <c r="F7" s="11" t="s">
        <v>68</v>
      </c>
      <c r="G7" s="15"/>
      <c r="H7" s="16"/>
      <c r="I7" s="15"/>
      <c r="J7" s="15"/>
      <c r="K7" s="8" t="s">
        <v>69</v>
      </c>
    </row>
    <row r="8" customFormat="false" ht="15" hidden="false" customHeight="false" outlineLevel="0" collapsed="false">
      <c r="A8" s="9" t="n">
        <v>7</v>
      </c>
      <c r="B8" s="8" t="s">
        <v>84</v>
      </c>
      <c r="C8" s="9" t="s">
        <v>85</v>
      </c>
      <c r="D8" s="11" t="s">
        <v>86</v>
      </c>
      <c r="E8" s="11" t="s">
        <v>86</v>
      </c>
      <c r="F8" s="11" t="s">
        <v>68</v>
      </c>
      <c r="G8" s="15"/>
      <c r="H8" s="16"/>
      <c r="I8" s="15"/>
      <c r="J8" s="15"/>
      <c r="K8" s="11" t="s">
        <v>87</v>
      </c>
    </row>
    <row r="9" customFormat="false" ht="15" hidden="false" customHeight="false" outlineLevel="0" collapsed="false">
      <c r="A9" s="9" t="n">
        <v>8</v>
      </c>
      <c r="B9" s="8" t="s">
        <v>84</v>
      </c>
      <c r="C9" s="9" t="s">
        <v>88</v>
      </c>
      <c r="D9" s="11" t="s">
        <v>89</v>
      </c>
      <c r="E9" s="11" t="s">
        <v>89</v>
      </c>
      <c r="F9" s="11" t="s">
        <v>68</v>
      </c>
      <c r="G9" s="15"/>
      <c r="H9" s="16"/>
      <c r="I9" s="15"/>
      <c r="J9" s="15"/>
      <c r="K9" s="11" t="s">
        <v>87</v>
      </c>
    </row>
    <row r="10" customFormat="false" ht="15" hidden="false" customHeight="false" outlineLevel="0" collapsed="false">
      <c r="A10" s="9" t="n">
        <v>9</v>
      </c>
      <c r="B10" s="8" t="s">
        <v>84</v>
      </c>
      <c r="C10" s="9" t="s">
        <v>90</v>
      </c>
      <c r="D10" s="11" t="s">
        <v>91</v>
      </c>
      <c r="E10" s="11" t="s">
        <v>91</v>
      </c>
      <c r="F10" s="11" t="s">
        <v>68</v>
      </c>
      <c r="G10" s="15"/>
      <c r="H10" s="16"/>
      <c r="I10" s="15"/>
      <c r="J10" s="15"/>
      <c r="K10" s="11" t="s">
        <v>87</v>
      </c>
    </row>
    <row r="11" customFormat="false" ht="15" hidden="false" customHeight="false" outlineLevel="0" collapsed="false">
      <c r="A11" s="9" t="n">
        <v>10</v>
      </c>
      <c r="B11" s="8" t="s">
        <v>84</v>
      </c>
      <c r="C11" s="9" t="s">
        <v>92</v>
      </c>
      <c r="D11" s="11" t="s">
        <v>93</v>
      </c>
      <c r="E11" s="11" t="s">
        <v>93</v>
      </c>
      <c r="F11" s="11" t="s">
        <v>68</v>
      </c>
      <c r="G11" s="15"/>
      <c r="H11" s="16"/>
      <c r="I11" s="15"/>
      <c r="J11" s="15"/>
      <c r="K11" s="11" t="s">
        <v>87</v>
      </c>
    </row>
    <row r="12" customFormat="false" ht="15" hidden="false" customHeight="false" outlineLevel="0" collapsed="false">
      <c r="A12" s="9" t="n">
        <v>11</v>
      </c>
      <c r="B12" s="8" t="s">
        <v>94</v>
      </c>
      <c r="C12" s="9" t="s">
        <v>95</v>
      </c>
      <c r="D12" s="11" t="s">
        <v>96</v>
      </c>
      <c r="E12" s="11" t="s">
        <v>96</v>
      </c>
      <c r="F12" s="11" t="s">
        <v>68</v>
      </c>
      <c r="G12" s="15"/>
      <c r="H12" s="16"/>
      <c r="I12" s="15"/>
      <c r="J12" s="15"/>
      <c r="K12" s="11" t="s">
        <v>97</v>
      </c>
    </row>
    <row r="13" customFormat="false" ht="15" hidden="false" customHeight="false" outlineLevel="0" collapsed="false">
      <c r="A13" s="9" t="n">
        <v>12</v>
      </c>
      <c r="B13" s="8" t="s">
        <v>94</v>
      </c>
      <c r="C13" s="9" t="s">
        <v>98</v>
      </c>
      <c r="D13" s="11" t="s">
        <v>99</v>
      </c>
      <c r="E13" s="11" t="s">
        <v>99</v>
      </c>
      <c r="F13" s="11" t="s">
        <v>68</v>
      </c>
      <c r="G13" s="15"/>
      <c r="H13" s="16"/>
      <c r="I13" s="15"/>
      <c r="J13" s="15"/>
      <c r="K13" s="11" t="s">
        <v>97</v>
      </c>
    </row>
    <row r="14" customFormat="false" ht="15" hidden="false" customHeight="false" outlineLevel="0" collapsed="false">
      <c r="A14" s="9" t="n">
        <v>13</v>
      </c>
      <c r="B14" s="8" t="s">
        <v>94</v>
      </c>
      <c r="C14" s="9" t="s">
        <v>100</v>
      </c>
      <c r="D14" s="11" t="s">
        <v>101</v>
      </c>
      <c r="E14" s="11" t="s">
        <v>101</v>
      </c>
      <c r="F14" s="11" t="s">
        <v>68</v>
      </c>
      <c r="G14" s="15"/>
      <c r="H14" s="16"/>
      <c r="I14" s="15"/>
      <c r="J14" s="15"/>
      <c r="K14" s="11" t="s">
        <v>97</v>
      </c>
    </row>
    <row r="15" customFormat="false" ht="15" hidden="false" customHeight="false" outlineLevel="0" collapsed="false">
      <c r="A15" s="9" t="n">
        <v>14</v>
      </c>
      <c r="B15" s="8" t="s">
        <v>94</v>
      </c>
      <c r="C15" s="9" t="s">
        <v>102</v>
      </c>
      <c r="D15" s="8" t="s">
        <v>103</v>
      </c>
      <c r="E15" s="8" t="s">
        <v>104</v>
      </c>
      <c r="F15" s="11" t="s">
        <v>68</v>
      </c>
      <c r="G15" s="15"/>
      <c r="H15" s="16"/>
      <c r="I15" s="15"/>
      <c r="J15" s="15"/>
      <c r="K15" s="11" t="s">
        <v>97</v>
      </c>
    </row>
    <row r="16" customFormat="false" ht="15" hidden="false" customHeight="false" outlineLevel="0" collapsed="false">
      <c r="A16" s="9" t="n">
        <v>15</v>
      </c>
      <c r="B16" s="8" t="s">
        <v>94</v>
      </c>
      <c r="C16" s="9" t="s">
        <v>105</v>
      </c>
      <c r="D16" s="11" t="s">
        <v>106</v>
      </c>
      <c r="E16" s="11" t="s">
        <v>107</v>
      </c>
      <c r="F16" s="11" t="s">
        <v>68</v>
      </c>
      <c r="G16" s="15"/>
      <c r="H16" s="16"/>
      <c r="I16" s="15"/>
      <c r="J16" s="15"/>
      <c r="K16" s="11" t="s">
        <v>97</v>
      </c>
    </row>
    <row r="17" customFormat="false" ht="15" hidden="false" customHeight="false" outlineLevel="0" collapsed="false">
      <c r="A17" s="9" t="n">
        <v>16</v>
      </c>
      <c r="B17" s="8" t="s">
        <v>108</v>
      </c>
      <c r="C17" s="9" t="s">
        <v>109</v>
      </c>
      <c r="D17" s="8" t="s">
        <v>110</v>
      </c>
      <c r="E17" s="8" t="s">
        <v>110</v>
      </c>
      <c r="F17" s="11" t="s">
        <v>68</v>
      </c>
      <c r="G17" s="15"/>
      <c r="H17" s="16"/>
      <c r="I17" s="15"/>
      <c r="J17" s="15"/>
      <c r="K17" s="8" t="s">
        <v>111</v>
      </c>
    </row>
    <row r="18" customFormat="false" ht="15" hidden="false" customHeight="false" outlineLevel="0" collapsed="false">
      <c r="A18" s="9" t="n">
        <v>17</v>
      </c>
      <c r="B18" s="8" t="s">
        <v>108</v>
      </c>
      <c r="C18" s="9" t="s">
        <v>112</v>
      </c>
      <c r="D18" s="8" t="s">
        <v>113</v>
      </c>
      <c r="E18" s="8" t="s">
        <v>113</v>
      </c>
      <c r="F18" s="11" t="s">
        <v>68</v>
      </c>
      <c r="G18" s="15"/>
      <c r="H18" s="16"/>
      <c r="I18" s="15"/>
      <c r="J18" s="15"/>
      <c r="K18" s="8" t="s">
        <v>111</v>
      </c>
    </row>
    <row r="19" customFormat="false" ht="15" hidden="false" customHeight="false" outlineLevel="0" collapsed="false">
      <c r="A19" s="9" t="n">
        <v>18</v>
      </c>
      <c r="B19" s="8" t="s">
        <v>108</v>
      </c>
      <c r="C19" s="9" t="s">
        <v>114</v>
      </c>
      <c r="D19" s="8" t="s">
        <v>115</v>
      </c>
      <c r="E19" s="8" t="s">
        <v>115</v>
      </c>
      <c r="F19" s="11" t="s">
        <v>68</v>
      </c>
      <c r="G19" s="15"/>
      <c r="H19" s="16"/>
      <c r="I19" s="15"/>
      <c r="J19" s="15"/>
      <c r="K19" s="8" t="s">
        <v>111</v>
      </c>
    </row>
    <row r="20" customFormat="false" ht="15" hidden="false" customHeight="false" outlineLevel="0" collapsed="false">
      <c r="A20" s="9" t="n">
        <v>19</v>
      </c>
      <c r="B20" s="8" t="s">
        <v>108</v>
      </c>
      <c r="C20" s="9" t="s">
        <v>116</v>
      </c>
      <c r="D20" s="11" t="s">
        <v>117</v>
      </c>
      <c r="E20" s="11" t="s">
        <v>118</v>
      </c>
      <c r="F20" s="11" t="s">
        <v>68</v>
      </c>
      <c r="G20" s="15"/>
      <c r="H20" s="16"/>
      <c r="I20" s="15"/>
      <c r="J20" s="15"/>
      <c r="K20" s="8" t="s">
        <v>111</v>
      </c>
    </row>
    <row r="21" customFormat="false" ht="15" hidden="false" customHeight="false" outlineLevel="0" collapsed="false">
      <c r="A21" s="9" t="n">
        <v>20</v>
      </c>
      <c r="B21" s="8" t="s">
        <v>108</v>
      </c>
      <c r="C21" s="9" t="s">
        <v>119</v>
      </c>
      <c r="D21" s="11" t="s">
        <v>120</v>
      </c>
      <c r="E21" s="11" t="s">
        <v>121</v>
      </c>
      <c r="F21" s="11" t="s">
        <v>68</v>
      </c>
      <c r="G21" s="15"/>
      <c r="H21" s="16"/>
      <c r="I21" s="15"/>
      <c r="J21" s="15"/>
      <c r="K21" s="8" t="s">
        <v>111</v>
      </c>
    </row>
    <row r="22" customFormat="false" ht="15" hidden="false" customHeight="false" outlineLevel="0" collapsed="false">
      <c r="A22" s="9" t="n">
        <v>21</v>
      </c>
      <c r="B22" s="8" t="s">
        <v>108</v>
      </c>
      <c r="C22" s="9" t="s">
        <v>122</v>
      </c>
      <c r="D22" s="8" t="s">
        <v>123</v>
      </c>
      <c r="E22" s="8" t="s">
        <v>124</v>
      </c>
      <c r="F22" s="11" t="s">
        <v>68</v>
      </c>
      <c r="G22" s="15"/>
      <c r="H22" s="16"/>
      <c r="I22" s="15"/>
      <c r="J22" s="15"/>
      <c r="K22" s="8" t="s">
        <v>111</v>
      </c>
    </row>
    <row r="23" customFormat="false" ht="15" hidden="false" customHeight="false" outlineLevel="0" collapsed="false">
      <c r="A23" s="9" t="n">
        <v>22</v>
      </c>
      <c r="B23" s="8" t="s">
        <v>108</v>
      </c>
      <c r="C23" s="9" t="s">
        <v>125</v>
      </c>
      <c r="D23" s="11" t="s">
        <v>126</v>
      </c>
      <c r="E23" s="11" t="s">
        <v>127</v>
      </c>
      <c r="F23" s="11" t="s">
        <v>68</v>
      </c>
      <c r="G23" s="15"/>
      <c r="H23" s="16"/>
      <c r="I23" s="15"/>
      <c r="J23" s="15"/>
      <c r="K23" s="8" t="s">
        <v>111</v>
      </c>
    </row>
    <row r="24" customFormat="false" ht="15" hidden="false" customHeight="false" outlineLevel="0" collapsed="false">
      <c r="A24" s="9" t="n">
        <v>23</v>
      </c>
      <c r="B24" s="8" t="s">
        <v>108</v>
      </c>
      <c r="C24" s="9" t="s">
        <v>128</v>
      </c>
      <c r="D24" s="11" t="s">
        <v>129</v>
      </c>
      <c r="E24" s="11" t="s">
        <v>130</v>
      </c>
      <c r="F24" s="11" t="s">
        <v>68</v>
      </c>
      <c r="G24" s="15"/>
      <c r="H24" s="16"/>
      <c r="I24" s="15"/>
      <c r="J24" s="15"/>
      <c r="K24" s="8" t="s">
        <v>111</v>
      </c>
    </row>
    <row r="25" customFormat="false" ht="15" hidden="false" customHeight="false" outlineLevel="0" collapsed="false">
      <c r="A25" s="9" t="n">
        <v>24</v>
      </c>
      <c r="B25" s="8" t="s">
        <v>108</v>
      </c>
      <c r="C25" s="9" t="s">
        <v>131</v>
      </c>
      <c r="D25" s="11" t="s">
        <v>132</v>
      </c>
      <c r="E25" s="11" t="s">
        <v>133</v>
      </c>
      <c r="F25" s="11" t="s">
        <v>68</v>
      </c>
      <c r="G25" s="15"/>
      <c r="H25" s="16"/>
      <c r="I25" s="15"/>
      <c r="J25" s="15"/>
      <c r="K25" s="8" t="s">
        <v>111</v>
      </c>
    </row>
    <row r="26" customFormat="false" ht="15" hidden="false" customHeight="false" outlineLevel="0" collapsed="false">
      <c r="A26" s="9" t="n">
        <v>25</v>
      </c>
      <c r="B26" s="8" t="s">
        <v>108</v>
      </c>
      <c r="C26" s="9" t="s">
        <v>134</v>
      </c>
      <c r="D26" s="8" t="s">
        <v>135</v>
      </c>
      <c r="E26" s="8" t="s">
        <v>135</v>
      </c>
      <c r="F26" s="11" t="s">
        <v>68</v>
      </c>
      <c r="G26" s="15"/>
      <c r="H26" s="16"/>
      <c r="I26" s="15"/>
      <c r="J26" s="15"/>
      <c r="K26" s="8" t="s">
        <v>111</v>
      </c>
    </row>
    <row r="27" customFormat="false" ht="15" hidden="false" customHeight="false" outlineLevel="0" collapsed="false">
      <c r="A27" s="9" t="n">
        <v>26</v>
      </c>
      <c r="B27" s="8" t="s">
        <v>108</v>
      </c>
      <c r="C27" s="9" t="s">
        <v>136</v>
      </c>
      <c r="D27" s="8" t="s">
        <v>137</v>
      </c>
      <c r="E27" s="8" t="s">
        <v>137</v>
      </c>
      <c r="F27" s="11" t="s">
        <v>68</v>
      </c>
      <c r="G27" s="15"/>
      <c r="H27" s="16"/>
      <c r="I27" s="15"/>
      <c r="J27" s="15"/>
      <c r="K27" s="8" t="s">
        <v>111</v>
      </c>
    </row>
    <row r="28" customFormat="false" ht="15" hidden="false" customHeight="false" outlineLevel="0" collapsed="false">
      <c r="A28" s="9" t="n">
        <v>27</v>
      </c>
      <c r="B28" s="8" t="s">
        <v>108</v>
      </c>
      <c r="C28" s="9" t="s">
        <v>138</v>
      </c>
      <c r="D28" s="8" t="s">
        <v>139</v>
      </c>
      <c r="E28" s="8" t="s">
        <v>140</v>
      </c>
      <c r="F28" s="11" t="s">
        <v>68</v>
      </c>
      <c r="G28" s="15"/>
      <c r="H28" s="16"/>
      <c r="I28" s="15"/>
      <c r="J28" s="15"/>
      <c r="K28" s="8" t="s">
        <v>111</v>
      </c>
    </row>
    <row r="29" customFormat="false" ht="15" hidden="false" customHeight="false" outlineLevel="0" collapsed="false">
      <c r="A29" s="9" t="n">
        <v>28</v>
      </c>
      <c r="B29" s="8" t="s">
        <v>108</v>
      </c>
      <c r="C29" s="9" t="s">
        <v>141</v>
      </c>
      <c r="D29" s="11" t="s">
        <v>142</v>
      </c>
      <c r="E29" s="11" t="s">
        <v>142</v>
      </c>
      <c r="F29" s="11" t="s">
        <v>68</v>
      </c>
      <c r="G29" s="15"/>
      <c r="H29" s="16"/>
      <c r="I29" s="15"/>
      <c r="J29" s="15"/>
      <c r="K29" s="8" t="s">
        <v>111</v>
      </c>
    </row>
    <row r="30" customFormat="false" ht="15" hidden="false" customHeight="false" outlineLevel="0" collapsed="false">
      <c r="A30" s="9" t="n">
        <v>29</v>
      </c>
      <c r="B30" s="8" t="s">
        <v>108</v>
      </c>
      <c r="C30" s="9" t="s">
        <v>143</v>
      </c>
      <c r="D30" s="8" t="s">
        <v>144</v>
      </c>
      <c r="E30" s="8" t="s">
        <v>145</v>
      </c>
      <c r="F30" s="11" t="s">
        <v>68</v>
      </c>
      <c r="G30" s="15"/>
      <c r="H30" s="16"/>
      <c r="I30" s="15"/>
      <c r="J30" s="15"/>
      <c r="K30" s="8" t="s">
        <v>111</v>
      </c>
    </row>
    <row r="31" customFormat="false" ht="15" hidden="false" customHeight="false" outlineLevel="0" collapsed="false">
      <c r="A31" s="9" t="n">
        <v>30</v>
      </c>
      <c r="B31" s="8" t="s">
        <v>108</v>
      </c>
      <c r="C31" s="9" t="s">
        <v>146</v>
      </c>
      <c r="D31" s="8" t="s">
        <v>147</v>
      </c>
      <c r="E31" s="11" t="s">
        <v>148</v>
      </c>
      <c r="F31" s="11" t="s">
        <v>68</v>
      </c>
      <c r="G31" s="15"/>
      <c r="H31" s="16"/>
      <c r="I31" s="15"/>
      <c r="J31" s="15"/>
      <c r="K31" s="8" t="s">
        <v>111</v>
      </c>
    </row>
    <row r="32" customFormat="false" ht="15" hidden="false" customHeight="false" outlineLevel="0" collapsed="false">
      <c r="A32" s="9" t="n">
        <v>31</v>
      </c>
      <c r="B32" s="8" t="s">
        <v>108</v>
      </c>
      <c r="C32" s="9" t="s">
        <v>149</v>
      </c>
      <c r="D32" s="8" t="s">
        <v>150</v>
      </c>
      <c r="E32" s="8" t="s">
        <v>151</v>
      </c>
      <c r="F32" s="11" t="s">
        <v>68</v>
      </c>
      <c r="G32" s="15"/>
      <c r="H32" s="16"/>
      <c r="I32" s="15"/>
      <c r="J32" s="15"/>
      <c r="K32" s="8" t="s">
        <v>111</v>
      </c>
    </row>
    <row r="33" customFormat="false" ht="15" hidden="false" customHeight="false" outlineLevel="0" collapsed="false">
      <c r="A33" s="9" t="n">
        <v>32</v>
      </c>
      <c r="B33" s="8" t="s">
        <v>108</v>
      </c>
      <c r="C33" s="9" t="s">
        <v>152</v>
      </c>
      <c r="D33" s="8" t="s">
        <v>153</v>
      </c>
      <c r="E33" s="11" t="s">
        <v>154</v>
      </c>
      <c r="F33" s="11" t="s">
        <v>68</v>
      </c>
      <c r="G33" s="15"/>
      <c r="H33" s="16"/>
      <c r="I33" s="15"/>
      <c r="J33" s="15"/>
      <c r="K33" s="8" t="s">
        <v>111</v>
      </c>
    </row>
    <row r="34" customFormat="false" ht="15" hidden="false" customHeight="false" outlineLevel="0" collapsed="false">
      <c r="A34" s="9" t="n">
        <v>33</v>
      </c>
      <c r="B34" s="8" t="s">
        <v>155</v>
      </c>
      <c r="C34" s="9" t="s">
        <v>156</v>
      </c>
      <c r="D34" s="11" t="s">
        <v>157</v>
      </c>
      <c r="E34" s="11" t="s">
        <v>157</v>
      </c>
      <c r="F34" s="11" t="s">
        <v>68</v>
      </c>
      <c r="G34" s="15"/>
      <c r="H34" s="16"/>
      <c r="I34" s="15"/>
      <c r="J34" s="15"/>
      <c r="K34" s="11" t="s">
        <v>158</v>
      </c>
    </row>
    <row r="35" customFormat="false" ht="15" hidden="false" customHeight="false" outlineLevel="0" collapsed="false">
      <c r="A35" s="9" t="n">
        <v>34</v>
      </c>
      <c r="B35" s="8" t="s">
        <v>155</v>
      </c>
      <c r="C35" s="9" t="s">
        <v>159</v>
      </c>
      <c r="D35" s="11" t="s">
        <v>160</v>
      </c>
      <c r="E35" s="11" t="s">
        <v>160</v>
      </c>
      <c r="F35" s="11" t="s">
        <v>68</v>
      </c>
      <c r="G35" s="15"/>
      <c r="H35" s="16"/>
      <c r="I35" s="15"/>
      <c r="J35" s="15"/>
      <c r="K35" s="11" t="s">
        <v>158</v>
      </c>
    </row>
    <row r="36" customFormat="false" ht="15" hidden="false" customHeight="false" outlineLevel="0" collapsed="false">
      <c r="A36" s="9" t="n">
        <v>35</v>
      </c>
      <c r="B36" s="8" t="s">
        <v>155</v>
      </c>
      <c r="C36" s="9" t="s">
        <v>161</v>
      </c>
      <c r="D36" s="11" t="s">
        <v>162</v>
      </c>
      <c r="E36" s="11" t="s">
        <v>163</v>
      </c>
      <c r="F36" s="11" t="s">
        <v>68</v>
      </c>
      <c r="G36" s="15"/>
      <c r="H36" s="16"/>
      <c r="I36" s="15"/>
      <c r="J36" s="15"/>
      <c r="K36" s="11" t="s">
        <v>158</v>
      </c>
    </row>
    <row r="37" customFormat="false" ht="15" hidden="false" customHeight="false" outlineLevel="0" collapsed="false">
      <c r="A37" s="9" t="n">
        <v>36</v>
      </c>
      <c r="B37" s="8" t="s">
        <v>155</v>
      </c>
      <c r="C37" s="9" t="s">
        <v>164</v>
      </c>
      <c r="D37" s="11" t="s">
        <v>165</v>
      </c>
      <c r="E37" s="11" t="s">
        <v>166</v>
      </c>
      <c r="F37" s="11" t="s">
        <v>68</v>
      </c>
      <c r="G37" s="15"/>
      <c r="H37" s="16"/>
      <c r="I37" s="15"/>
      <c r="J37" s="15"/>
      <c r="K37" s="11" t="s">
        <v>158</v>
      </c>
    </row>
    <row r="38" customFormat="false" ht="15" hidden="false" customHeight="false" outlineLevel="0" collapsed="false">
      <c r="A38" s="9" t="n">
        <v>37</v>
      </c>
      <c r="B38" s="8" t="s">
        <v>155</v>
      </c>
      <c r="C38" s="9" t="s">
        <v>167</v>
      </c>
      <c r="D38" s="11" t="s">
        <v>168</v>
      </c>
      <c r="E38" s="11" t="s">
        <v>168</v>
      </c>
      <c r="F38" s="11" t="s">
        <v>68</v>
      </c>
      <c r="G38" s="15"/>
      <c r="H38" s="16"/>
      <c r="I38" s="15"/>
      <c r="J38" s="15"/>
      <c r="K38" s="11" t="s">
        <v>158</v>
      </c>
    </row>
    <row r="39" customFormat="false" ht="15" hidden="false" customHeight="false" outlineLevel="0" collapsed="false">
      <c r="A39" s="9" t="n">
        <v>38</v>
      </c>
      <c r="B39" s="8" t="s">
        <v>155</v>
      </c>
      <c r="C39" s="9" t="s">
        <v>169</v>
      </c>
      <c r="D39" s="11" t="s">
        <v>170</v>
      </c>
      <c r="E39" s="11" t="s">
        <v>170</v>
      </c>
      <c r="F39" s="11" t="s">
        <v>68</v>
      </c>
      <c r="G39" s="15"/>
      <c r="H39" s="16"/>
      <c r="I39" s="15"/>
      <c r="J39" s="15"/>
      <c r="K39" s="11" t="s">
        <v>158</v>
      </c>
    </row>
    <row r="40" customFormat="false" ht="15" hidden="false" customHeight="false" outlineLevel="0" collapsed="false">
      <c r="A40" s="9" t="n">
        <v>39</v>
      </c>
      <c r="B40" s="8" t="s">
        <v>155</v>
      </c>
      <c r="C40" s="9" t="s">
        <v>171</v>
      </c>
      <c r="D40" s="11" t="s">
        <v>172</v>
      </c>
      <c r="E40" s="11" t="s">
        <v>173</v>
      </c>
      <c r="F40" s="11" t="s">
        <v>68</v>
      </c>
      <c r="G40" s="15"/>
      <c r="H40" s="16"/>
      <c r="I40" s="15"/>
      <c r="J40" s="15"/>
      <c r="K40" s="11" t="s">
        <v>158</v>
      </c>
    </row>
    <row r="41" customFormat="false" ht="15" hidden="false" customHeight="false" outlineLevel="0" collapsed="false">
      <c r="A41" s="9" t="n">
        <v>40</v>
      </c>
      <c r="B41" s="8" t="s">
        <v>174</v>
      </c>
      <c r="C41" s="9" t="s">
        <v>175</v>
      </c>
      <c r="D41" s="8" t="s">
        <v>176</v>
      </c>
      <c r="E41" s="8" t="s">
        <v>177</v>
      </c>
      <c r="F41" s="11" t="s">
        <v>68</v>
      </c>
      <c r="G41" s="15"/>
      <c r="H41" s="16"/>
      <c r="I41" s="15"/>
      <c r="J41" s="15"/>
      <c r="K41" s="8" t="s">
        <v>178</v>
      </c>
    </row>
    <row r="42" customFormat="false" ht="15" hidden="false" customHeight="false" outlineLevel="0" collapsed="false">
      <c r="A42" s="9" t="n">
        <v>41</v>
      </c>
      <c r="B42" s="8" t="s">
        <v>174</v>
      </c>
      <c r="C42" s="9" t="s">
        <v>179</v>
      </c>
      <c r="D42" s="11" t="s">
        <v>180</v>
      </c>
      <c r="E42" s="11" t="s">
        <v>180</v>
      </c>
      <c r="F42" s="11" t="s">
        <v>68</v>
      </c>
      <c r="G42" s="15"/>
      <c r="H42" s="16"/>
      <c r="I42" s="15"/>
      <c r="J42" s="15"/>
      <c r="K42" s="8" t="s">
        <v>178</v>
      </c>
    </row>
    <row r="43" customFormat="false" ht="15" hidden="false" customHeight="false" outlineLevel="0" collapsed="false">
      <c r="A43" s="9" t="n">
        <v>42</v>
      </c>
      <c r="B43" s="8" t="s">
        <v>174</v>
      </c>
      <c r="C43" s="9" t="s">
        <v>181</v>
      </c>
      <c r="D43" s="11" t="s">
        <v>182</v>
      </c>
      <c r="E43" s="11" t="s">
        <v>182</v>
      </c>
      <c r="F43" s="11" t="s">
        <v>68</v>
      </c>
      <c r="G43" s="15"/>
      <c r="H43" s="16"/>
      <c r="I43" s="15"/>
      <c r="J43" s="15"/>
      <c r="K43" s="8" t="s">
        <v>178</v>
      </c>
    </row>
    <row r="44" customFormat="false" ht="15" hidden="false" customHeight="false" outlineLevel="0" collapsed="false">
      <c r="A44" s="9" t="n">
        <v>43</v>
      </c>
      <c r="B44" s="8" t="s">
        <v>174</v>
      </c>
      <c r="C44" s="9" t="s">
        <v>183</v>
      </c>
      <c r="D44" s="11" t="s">
        <v>184</v>
      </c>
      <c r="E44" s="11" t="s">
        <v>184</v>
      </c>
      <c r="F44" s="11" t="s">
        <v>68</v>
      </c>
      <c r="G44" s="15"/>
      <c r="H44" s="16"/>
      <c r="I44" s="15"/>
      <c r="J44" s="15"/>
      <c r="K44" s="8" t="s">
        <v>178</v>
      </c>
    </row>
    <row r="45" customFormat="false" ht="15" hidden="false" customHeight="false" outlineLevel="0" collapsed="false">
      <c r="A45" s="9" t="n">
        <v>44</v>
      </c>
      <c r="B45" s="8" t="s">
        <v>174</v>
      </c>
      <c r="C45" s="9" t="s">
        <v>185</v>
      </c>
      <c r="D45" s="11" t="s">
        <v>186</v>
      </c>
      <c r="E45" s="11" t="s">
        <v>187</v>
      </c>
      <c r="F45" s="11" t="s">
        <v>68</v>
      </c>
      <c r="G45" s="15"/>
      <c r="H45" s="16"/>
      <c r="I45" s="15"/>
      <c r="J45" s="15"/>
      <c r="K45" s="8" t="s">
        <v>178</v>
      </c>
    </row>
    <row r="46" customFormat="false" ht="15" hidden="false" customHeight="false" outlineLevel="0" collapsed="false">
      <c r="A46" s="9" t="n">
        <v>45</v>
      </c>
      <c r="B46" s="8" t="s">
        <v>174</v>
      </c>
      <c r="C46" s="9" t="s">
        <v>188</v>
      </c>
      <c r="D46" s="8" t="s">
        <v>189</v>
      </c>
      <c r="E46" s="8" t="s">
        <v>190</v>
      </c>
      <c r="F46" s="11" t="s">
        <v>68</v>
      </c>
      <c r="G46" s="15"/>
      <c r="H46" s="16"/>
      <c r="I46" s="15"/>
      <c r="J46" s="15"/>
      <c r="K46" s="8" t="s">
        <v>178</v>
      </c>
    </row>
    <row r="47" customFormat="false" ht="15" hidden="false" customHeight="false" outlineLevel="0" collapsed="false">
      <c r="A47" s="9" t="n">
        <v>46</v>
      </c>
      <c r="B47" s="8" t="s">
        <v>174</v>
      </c>
      <c r="C47" s="9" t="s">
        <v>191</v>
      </c>
      <c r="D47" s="11" t="s">
        <v>192</v>
      </c>
      <c r="E47" s="11" t="s">
        <v>193</v>
      </c>
      <c r="F47" s="11" t="s">
        <v>68</v>
      </c>
      <c r="G47" s="15"/>
      <c r="H47" s="16"/>
      <c r="I47" s="15"/>
      <c r="J47" s="15"/>
      <c r="K47" s="8" t="s">
        <v>178</v>
      </c>
    </row>
    <row r="48" customFormat="false" ht="15" hidden="false" customHeight="false" outlineLevel="0" collapsed="false">
      <c r="A48" s="9" t="n">
        <v>47</v>
      </c>
      <c r="B48" s="8" t="s">
        <v>174</v>
      </c>
      <c r="C48" s="9" t="s">
        <v>194</v>
      </c>
      <c r="D48" s="11" t="s">
        <v>195</v>
      </c>
      <c r="E48" s="11" t="s">
        <v>196</v>
      </c>
      <c r="F48" s="11" t="s">
        <v>68</v>
      </c>
      <c r="G48" s="15"/>
      <c r="H48" s="16"/>
      <c r="I48" s="15"/>
      <c r="J48" s="15"/>
      <c r="K48" s="8" t="s">
        <v>178</v>
      </c>
    </row>
    <row r="49" customFormat="false" ht="15" hidden="false" customHeight="false" outlineLevel="0" collapsed="false">
      <c r="A49" s="9" t="n">
        <v>48</v>
      </c>
      <c r="B49" s="8" t="s">
        <v>174</v>
      </c>
      <c r="C49" s="9" t="s">
        <v>197</v>
      </c>
      <c r="D49" s="11" t="s">
        <v>198</v>
      </c>
      <c r="E49" s="11" t="s">
        <v>198</v>
      </c>
      <c r="F49" s="11" t="s">
        <v>68</v>
      </c>
      <c r="G49" s="15"/>
      <c r="H49" s="16"/>
      <c r="I49" s="15"/>
      <c r="J49" s="15"/>
      <c r="K49" s="8" t="s">
        <v>178</v>
      </c>
    </row>
    <row r="50" customFormat="false" ht="15" hidden="false" customHeight="false" outlineLevel="0" collapsed="false">
      <c r="A50" s="9" t="n">
        <v>49</v>
      </c>
      <c r="B50" s="8" t="s">
        <v>199</v>
      </c>
      <c r="C50" s="9" t="s">
        <v>200</v>
      </c>
      <c r="D50" s="11" t="s">
        <v>201</v>
      </c>
      <c r="E50" s="11" t="s">
        <v>201</v>
      </c>
      <c r="F50" s="11" t="s">
        <v>68</v>
      </c>
      <c r="G50" s="15"/>
      <c r="H50" s="16"/>
      <c r="I50" s="15"/>
      <c r="J50" s="15"/>
      <c r="K50" s="11" t="s">
        <v>202</v>
      </c>
    </row>
    <row r="51" customFormat="false" ht="15" hidden="false" customHeight="false" outlineLevel="0" collapsed="false">
      <c r="A51" s="9" t="n">
        <v>50</v>
      </c>
      <c r="B51" s="8" t="s">
        <v>199</v>
      </c>
      <c r="C51" s="9" t="s">
        <v>203</v>
      </c>
      <c r="D51" s="11" t="s">
        <v>204</v>
      </c>
      <c r="E51" s="11" t="s">
        <v>204</v>
      </c>
      <c r="F51" s="11" t="s">
        <v>68</v>
      </c>
      <c r="G51" s="15"/>
      <c r="H51" s="16"/>
      <c r="I51" s="15"/>
      <c r="J51" s="15"/>
      <c r="K51" s="11" t="s">
        <v>202</v>
      </c>
    </row>
    <row r="52" customFormat="false" ht="15" hidden="false" customHeight="false" outlineLevel="0" collapsed="false">
      <c r="A52" s="9" t="n">
        <v>51</v>
      </c>
      <c r="B52" s="8" t="s">
        <v>199</v>
      </c>
      <c r="C52" s="9" t="s">
        <v>205</v>
      </c>
      <c r="D52" s="11" t="s">
        <v>206</v>
      </c>
      <c r="E52" s="11" t="s">
        <v>207</v>
      </c>
      <c r="F52" s="11" t="s">
        <v>68</v>
      </c>
      <c r="G52" s="15"/>
      <c r="H52" s="16"/>
      <c r="I52" s="15"/>
      <c r="J52" s="15"/>
      <c r="K52" s="11" t="s">
        <v>202</v>
      </c>
    </row>
    <row r="53" customFormat="false" ht="15" hidden="false" customHeight="false" outlineLevel="0" collapsed="false">
      <c r="A53" s="9" t="n">
        <v>52</v>
      </c>
      <c r="B53" s="8" t="s">
        <v>199</v>
      </c>
      <c r="C53" s="9" t="s">
        <v>208</v>
      </c>
      <c r="D53" s="11" t="s">
        <v>209</v>
      </c>
      <c r="E53" s="11" t="s">
        <v>210</v>
      </c>
      <c r="F53" s="11" t="s">
        <v>68</v>
      </c>
      <c r="G53" s="15"/>
      <c r="H53" s="16"/>
      <c r="I53" s="15"/>
      <c r="J53" s="15"/>
      <c r="K53" s="11" t="s">
        <v>202</v>
      </c>
    </row>
    <row r="54" customFormat="false" ht="15" hidden="false" customHeight="false" outlineLevel="0" collapsed="false">
      <c r="A54" s="9" t="n">
        <v>53</v>
      </c>
      <c r="B54" s="8" t="s">
        <v>199</v>
      </c>
      <c r="C54" s="9" t="s">
        <v>211</v>
      </c>
      <c r="D54" s="8" t="s">
        <v>212</v>
      </c>
      <c r="E54" s="11" t="s">
        <v>213</v>
      </c>
      <c r="F54" s="11" t="s">
        <v>68</v>
      </c>
      <c r="G54" s="15"/>
      <c r="H54" s="16"/>
      <c r="I54" s="15"/>
      <c r="J54" s="15"/>
      <c r="K54" s="11" t="s">
        <v>202</v>
      </c>
    </row>
    <row r="55" customFormat="false" ht="15" hidden="false" customHeight="false" outlineLevel="0" collapsed="false">
      <c r="A55" s="9" t="n">
        <v>54</v>
      </c>
      <c r="B55" s="8" t="s">
        <v>199</v>
      </c>
      <c r="C55" s="9" t="s">
        <v>214</v>
      </c>
      <c r="D55" s="8" t="s">
        <v>215</v>
      </c>
      <c r="E55" s="8" t="s">
        <v>216</v>
      </c>
      <c r="F55" s="11" t="s">
        <v>68</v>
      </c>
      <c r="G55" s="15"/>
      <c r="H55" s="16"/>
      <c r="I55" s="15"/>
      <c r="J55" s="15"/>
      <c r="K55" s="11" t="s">
        <v>202</v>
      </c>
    </row>
    <row r="56" customFormat="false" ht="15" hidden="false" customHeight="false" outlineLevel="0" collapsed="false">
      <c r="A56" s="9" t="n">
        <v>55</v>
      </c>
      <c r="B56" s="8" t="s">
        <v>217</v>
      </c>
      <c r="C56" s="9" t="s">
        <v>218</v>
      </c>
      <c r="D56" s="11" t="s">
        <v>219</v>
      </c>
      <c r="E56" s="11" t="s">
        <v>220</v>
      </c>
      <c r="F56" s="11" t="s">
        <v>68</v>
      </c>
      <c r="G56" s="15"/>
      <c r="H56" s="16"/>
      <c r="I56" s="15"/>
      <c r="J56" s="15"/>
      <c r="K56" s="11" t="s">
        <v>221</v>
      </c>
    </row>
    <row r="57" customFormat="false" ht="15" hidden="false" customHeight="false" outlineLevel="0" collapsed="false">
      <c r="A57" s="9" t="n">
        <v>56</v>
      </c>
      <c r="B57" s="8" t="s">
        <v>217</v>
      </c>
      <c r="C57" s="9" t="s">
        <v>222</v>
      </c>
      <c r="D57" s="11" t="s">
        <v>223</v>
      </c>
      <c r="E57" s="11" t="s">
        <v>224</v>
      </c>
      <c r="F57" s="11" t="s">
        <v>68</v>
      </c>
      <c r="G57" s="15"/>
      <c r="H57" s="16"/>
      <c r="I57" s="15"/>
      <c r="J57" s="15"/>
      <c r="K57" s="11" t="s">
        <v>221</v>
      </c>
    </row>
    <row r="58" customFormat="false" ht="15" hidden="false" customHeight="false" outlineLevel="0" collapsed="false">
      <c r="A58" s="9" t="n">
        <v>57</v>
      </c>
      <c r="B58" s="8" t="s">
        <v>217</v>
      </c>
      <c r="C58" s="9" t="s">
        <v>225</v>
      </c>
      <c r="D58" s="11" t="s">
        <v>226</v>
      </c>
      <c r="E58" s="11" t="s">
        <v>227</v>
      </c>
      <c r="F58" s="11" t="s">
        <v>68</v>
      </c>
      <c r="G58" s="15"/>
      <c r="H58" s="16"/>
      <c r="I58" s="15"/>
      <c r="J58" s="15"/>
      <c r="K58" s="11" t="s">
        <v>221</v>
      </c>
    </row>
    <row r="59" customFormat="false" ht="15" hidden="false" customHeight="false" outlineLevel="0" collapsed="false">
      <c r="A59" s="9" t="n">
        <v>58</v>
      </c>
      <c r="B59" s="8" t="s">
        <v>217</v>
      </c>
      <c r="C59" s="9" t="s">
        <v>228</v>
      </c>
      <c r="D59" s="11" t="s">
        <v>229</v>
      </c>
      <c r="E59" s="11" t="s">
        <v>230</v>
      </c>
      <c r="F59" s="11" t="s">
        <v>68</v>
      </c>
      <c r="G59" s="15"/>
      <c r="H59" s="16"/>
      <c r="I59" s="15"/>
      <c r="J59" s="15"/>
      <c r="K59" s="11" t="s">
        <v>221</v>
      </c>
    </row>
    <row r="60" customFormat="false" ht="15" hidden="false" customHeight="false" outlineLevel="0" collapsed="false">
      <c r="A60" s="9" t="n">
        <v>59</v>
      </c>
      <c r="B60" s="8" t="s">
        <v>217</v>
      </c>
      <c r="C60" s="9" t="s">
        <v>231</v>
      </c>
      <c r="D60" s="11" t="s">
        <v>232</v>
      </c>
      <c r="E60" s="11" t="s">
        <v>233</v>
      </c>
      <c r="F60" s="11" t="s">
        <v>68</v>
      </c>
      <c r="G60" s="15"/>
      <c r="H60" s="16"/>
      <c r="I60" s="15"/>
      <c r="J60" s="15"/>
      <c r="K60" s="11" t="s">
        <v>221</v>
      </c>
    </row>
    <row r="61" customFormat="false" ht="15" hidden="false" customHeight="false" outlineLevel="0" collapsed="false">
      <c r="A61" s="9" t="n">
        <v>60</v>
      </c>
      <c r="B61" s="8" t="s">
        <v>217</v>
      </c>
      <c r="C61" s="9" t="s">
        <v>234</v>
      </c>
      <c r="D61" s="11" t="s">
        <v>235</v>
      </c>
      <c r="E61" s="11" t="s">
        <v>236</v>
      </c>
      <c r="F61" s="11" t="s">
        <v>68</v>
      </c>
      <c r="G61" s="15"/>
      <c r="H61" s="16"/>
      <c r="I61" s="15"/>
      <c r="J61" s="15"/>
      <c r="K61" s="11" t="s">
        <v>221</v>
      </c>
    </row>
    <row r="62" customFormat="false" ht="15" hidden="false" customHeight="false" outlineLevel="0" collapsed="false">
      <c r="A62" s="9" t="n">
        <v>61</v>
      </c>
      <c r="B62" s="8" t="s">
        <v>217</v>
      </c>
      <c r="C62" s="9" t="s">
        <v>237</v>
      </c>
      <c r="D62" s="8" t="s">
        <v>238</v>
      </c>
      <c r="E62" s="8" t="s">
        <v>239</v>
      </c>
      <c r="F62" s="11" t="s">
        <v>68</v>
      </c>
      <c r="G62" s="15"/>
      <c r="H62" s="16"/>
      <c r="I62" s="15"/>
      <c r="J62" s="15"/>
      <c r="K62" s="11" t="s">
        <v>221</v>
      </c>
    </row>
    <row r="63" customFormat="false" ht="15" hidden="false" customHeight="false" outlineLevel="0" collapsed="false">
      <c r="A63" s="9" t="n">
        <v>62</v>
      </c>
      <c r="B63" s="8" t="s">
        <v>217</v>
      </c>
      <c r="C63" s="9" t="s">
        <v>240</v>
      </c>
      <c r="D63" s="11" t="s">
        <v>241</v>
      </c>
      <c r="E63" s="11" t="s">
        <v>242</v>
      </c>
      <c r="F63" s="11" t="s">
        <v>68</v>
      </c>
      <c r="G63" s="15"/>
      <c r="H63" s="16"/>
      <c r="I63" s="15"/>
      <c r="J63" s="15"/>
      <c r="K63" s="11" t="s">
        <v>221</v>
      </c>
    </row>
    <row r="64" customFormat="false" ht="15" hidden="false" customHeight="false" outlineLevel="0" collapsed="false">
      <c r="A64" s="9" t="n">
        <v>63</v>
      </c>
      <c r="B64" s="8" t="s">
        <v>217</v>
      </c>
      <c r="C64" s="9" t="s">
        <v>243</v>
      </c>
      <c r="D64" s="11" t="s">
        <v>244</v>
      </c>
      <c r="E64" s="11" t="s">
        <v>245</v>
      </c>
      <c r="F64" s="11" t="s">
        <v>68</v>
      </c>
      <c r="G64" s="15"/>
      <c r="H64" s="16"/>
      <c r="I64" s="15"/>
      <c r="J64" s="15"/>
      <c r="K64" s="11" t="s">
        <v>221</v>
      </c>
    </row>
    <row r="65" customFormat="false" ht="15" hidden="false" customHeight="false" outlineLevel="0" collapsed="false">
      <c r="A65" s="9" t="n">
        <v>64</v>
      </c>
      <c r="B65" s="8" t="s">
        <v>217</v>
      </c>
      <c r="C65" s="9" t="s">
        <v>246</v>
      </c>
      <c r="D65" s="11" t="s">
        <v>247</v>
      </c>
      <c r="E65" s="11" t="s">
        <v>248</v>
      </c>
      <c r="F65" s="11" t="s">
        <v>68</v>
      </c>
      <c r="G65" s="15"/>
      <c r="H65" s="16"/>
      <c r="I65" s="15"/>
      <c r="J65" s="15"/>
      <c r="K65" s="11" t="s">
        <v>221</v>
      </c>
    </row>
    <row r="66" customFormat="false" ht="15" hidden="false" customHeight="false" outlineLevel="0" collapsed="false">
      <c r="A66" s="9" t="n">
        <v>65</v>
      </c>
      <c r="B66" s="8" t="s">
        <v>217</v>
      </c>
      <c r="C66" s="9" t="s">
        <v>249</v>
      </c>
      <c r="D66" s="8" t="s">
        <v>250</v>
      </c>
      <c r="E66" s="8" t="s">
        <v>251</v>
      </c>
      <c r="F66" s="11" t="s">
        <v>68</v>
      </c>
      <c r="G66" s="15"/>
      <c r="H66" s="16"/>
      <c r="I66" s="15"/>
      <c r="J66" s="15"/>
      <c r="K66" s="11" t="s">
        <v>221</v>
      </c>
    </row>
    <row r="67" customFormat="false" ht="15" hidden="false" customHeight="false" outlineLevel="0" collapsed="false">
      <c r="A67" s="9" t="n">
        <v>66</v>
      </c>
      <c r="B67" s="8" t="s">
        <v>217</v>
      </c>
      <c r="C67" s="9" t="s">
        <v>252</v>
      </c>
      <c r="D67" s="11" t="s">
        <v>253</v>
      </c>
      <c r="E67" s="11" t="s">
        <v>254</v>
      </c>
      <c r="F67" s="11" t="s">
        <v>68</v>
      </c>
      <c r="G67" s="15"/>
      <c r="H67" s="16"/>
      <c r="I67" s="15"/>
      <c r="J67" s="15"/>
      <c r="K67" s="11" t="s">
        <v>221</v>
      </c>
    </row>
    <row r="68" customFormat="false" ht="15" hidden="false" customHeight="false" outlineLevel="0" collapsed="false">
      <c r="A68" s="9" t="n">
        <v>67</v>
      </c>
      <c r="B68" s="8" t="s">
        <v>217</v>
      </c>
      <c r="C68" s="9" t="s">
        <v>255</v>
      </c>
      <c r="D68" s="11" t="s">
        <v>256</v>
      </c>
      <c r="E68" s="11" t="s">
        <v>257</v>
      </c>
      <c r="F68" s="11" t="s">
        <v>68</v>
      </c>
      <c r="G68" s="15"/>
      <c r="H68" s="16"/>
      <c r="I68" s="15"/>
      <c r="J68" s="15"/>
      <c r="K68" s="11" t="s">
        <v>221</v>
      </c>
    </row>
    <row r="69" customFormat="false" ht="15" hidden="false" customHeight="false" outlineLevel="0" collapsed="false">
      <c r="A69" s="9" t="n">
        <v>68</v>
      </c>
      <c r="B69" s="8" t="s">
        <v>217</v>
      </c>
      <c r="C69" s="9" t="s">
        <v>258</v>
      </c>
      <c r="D69" s="8" t="s">
        <v>259</v>
      </c>
      <c r="E69" s="11" t="s">
        <v>260</v>
      </c>
      <c r="F69" s="11" t="s">
        <v>68</v>
      </c>
      <c r="G69" s="15"/>
      <c r="H69" s="16"/>
      <c r="I69" s="15"/>
      <c r="J69" s="15"/>
      <c r="K69" s="11" t="s">
        <v>221</v>
      </c>
    </row>
    <row r="70" customFormat="false" ht="15" hidden="false" customHeight="false" outlineLevel="0" collapsed="false">
      <c r="A70" s="9" t="n">
        <v>69</v>
      </c>
      <c r="B70" s="8" t="s">
        <v>217</v>
      </c>
      <c r="C70" s="9" t="s">
        <v>261</v>
      </c>
      <c r="D70" s="11" t="s">
        <v>262</v>
      </c>
      <c r="E70" s="11" t="s">
        <v>263</v>
      </c>
      <c r="F70" s="11" t="s">
        <v>68</v>
      </c>
      <c r="G70" s="15"/>
      <c r="H70" s="16"/>
      <c r="I70" s="15"/>
      <c r="J70" s="15"/>
      <c r="K70" s="11" t="s">
        <v>221</v>
      </c>
    </row>
    <row r="71" customFormat="false" ht="15" hidden="false" customHeight="false" outlineLevel="0" collapsed="false">
      <c r="A71" s="9" t="n">
        <v>70</v>
      </c>
      <c r="B71" s="8" t="s">
        <v>217</v>
      </c>
      <c r="C71" s="9" t="s">
        <v>264</v>
      </c>
      <c r="D71" s="8" t="s">
        <v>265</v>
      </c>
      <c r="E71" s="11" t="s">
        <v>266</v>
      </c>
      <c r="F71" s="11" t="s">
        <v>68</v>
      </c>
      <c r="G71" s="15"/>
      <c r="H71" s="16"/>
      <c r="I71" s="15"/>
      <c r="J71" s="15"/>
      <c r="K71" s="11" t="s">
        <v>221</v>
      </c>
    </row>
    <row r="72" customFormat="false" ht="15" hidden="false" customHeight="false" outlineLevel="0" collapsed="false">
      <c r="A72" s="9" t="n">
        <v>71</v>
      </c>
      <c r="B72" s="8" t="s">
        <v>217</v>
      </c>
      <c r="C72" s="9" t="s">
        <v>267</v>
      </c>
      <c r="D72" s="11" t="s">
        <v>268</v>
      </c>
      <c r="E72" s="11" t="s">
        <v>269</v>
      </c>
      <c r="F72" s="11" t="s">
        <v>68</v>
      </c>
      <c r="G72" s="15"/>
      <c r="H72" s="16"/>
      <c r="I72" s="15"/>
      <c r="J72" s="15"/>
      <c r="K72" s="11" t="s">
        <v>221</v>
      </c>
    </row>
    <row r="73" customFormat="false" ht="15" hidden="false" customHeight="false" outlineLevel="0" collapsed="false">
      <c r="A73" s="9" t="n">
        <v>72</v>
      </c>
      <c r="B73" s="8" t="s">
        <v>270</v>
      </c>
      <c r="C73" s="9" t="s">
        <v>271</v>
      </c>
      <c r="D73" s="8" t="s">
        <v>272</v>
      </c>
      <c r="E73" s="8" t="s">
        <v>273</v>
      </c>
      <c r="F73" s="11" t="s">
        <v>68</v>
      </c>
      <c r="G73" s="15"/>
      <c r="H73" s="16"/>
      <c r="I73" s="15"/>
      <c r="J73" s="15"/>
      <c r="K73" s="11" t="s">
        <v>274</v>
      </c>
    </row>
    <row r="74" customFormat="false" ht="15" hidden="false" customHeight="false" outlineLevel="0" collapsed="false">
      <c r="A74" s="9" t="n">
        <v>73</v>
      </c>
      <c r="B74" s="8" t="s">
        <v>270</v>
      </c>
      <c r="C74" s="9" t="s">
        <v>275</v>
      </c>
      <c r="D74" s="11" t="s">
        <v>276</v>
      </c>
      <c r="E74" s="11" t="s">
        <v>276</v>
      </c>
      <c r="F74" s="11" t="s">
        <v>68</v>
      </c>
      <c r="G74" s="15"/>
      <c r="H74" s="16"/>
      <c r="I74" s="15"/>
      <c r="J74" s="15"/>
      <c r="K74" s="11" t="s">
        <v>274</v>
      </c>
    </row>
    <row r="75" customFormat="false" ht="15" hidden="false" customHeight="false" outlineLevel="0" collapsed="false">
      <c r="A75" s="9" t="n">
        <v>74</v>
      </c>
      <c r="B75" s="8" t="s">
        <v>270</v>
      </c>
      <c r="C75" s="9" t="s">
        <v>277</v>
      </c>
      <c r="D75" s="11" t="s">
        <v>278</v>
      </c>
      <c r="E75" s="11" t="s">
        <v>279</v>
      </c>
      <c r="F75" s="11" t="s">
        <v>68</v>
      </c>
      <c r="G75" s="15"/>
      <c r="H75" s="16"/>
      <c r="I75" s="15"/>
      <c r="J75" s="15"/>
      <c r="K75" s="11" t="s">
        <v>274</v>
      </c>
    </row>
    <row r="76" customFormat="false" ht="15" hidden="false" customHeight="false" outlineLevel="0" collapsed="false">
      <c r="A76" s="9" t="n">
        <v>75</v>
      </c>
      <c r="B76" s="8" t="s">
        <v>270</v>
      </c>
      <c r="C76" s="9" t="s">
        <v>280</v>
      </c>
      <c r="D76" s="8" t="s">
        <v>281</v>
      </c>
      <c r="E76" s="8" t="s">
        <v>281</v>
      </c>
      <c r="F76" s="11" t="s">
        <v>68</v>
      </c>
      <c r="G76" s="15"/>
      <c r="H76" s="16"/>
      <c r="I76" s="15"/>
      <c r="J76" s="15"/>
      <c r="K76" s="11" t="s">
        <v>274</v>
      </c>
    </row>
    <row r="77" customFormat="false" ht="15" hidden="false" customHeight="false" outlineLevel="0" collapsed="false">
      <c r="A77" s="9" t="n">
        <v>76</v>
      </c>
      <c r="B77" s="8" t="s">
        <v>270</v>
      </c>
      <c r="C77" s="9" t="s">
        <v>282</v>
      </c>
      <c r="D77" s="11" t="s">
        <v>283</v>
      </c>
      <c r="E77" s="11" t="s">
        <v>284</v>
      </c>
      <c r="F77" s="11" t="s">
        <v>68</v>
      </c>
      <c r="G77" s="15"/>
      <c r="H77" s="16"/>
      <c r="I77" s="15"/>
      <c r="J77" s="15"/>
      <c r="K77" s="11" t="s">
        <v>274</v>
      </c>
    </row>
    <row r="78" customFormat="false" ht="15" hidden="false" customHeight="false" outlineLevel="0" collapsed="false">
      <c r="A78" s="9" t="n">
        <v>77</v>
      </c>
      <c r="B78" s="8" t="s">
        <v>270</v>
      </c>
      <c r="C78" s="9" t="s">
        <v>285</v>
      </c>
      <c r="D78" s="11" t="s">
        <v>286</v>
      </c>
      <c r="E78" s="11" t="s">
        <v>287</v>
      </c>
      <c r="F78" s="11" t="s">
        <v>68</v>
      </c>
      <c r="G78" s="15"/>
      <c r="H78" s="16"/>
      <c r="I78" s="15"/>
      <c r="J78" s="15"/>
      <c r="K78" s="11" t="s">
        <v>274</v>
      </c>
    </row>
    <row r="79" customFormat="false" ht="15" hidden="false" customHeight="false" outlineLevel="0" collapsed="false">
      <c r="A79" s="9" t="n">
        <v>78</v>
      </c>
      <c r="B79" s="8" t="s">
        <v>270</v>
      </c>
      <c r="C79" s="9" t="s">
        <v>288</v>
      </c>
      <c r="D79" s="8" t="s">
        <v>289</v>
      </c>
      <c r="E79" s="11" t="s">
        <v>290</v>
      </c>
      <c r="F79" s="11" t="s">
        <v>68</v>
      </c>
      <c r="G79" s="15"/>
      <c r="H79" s="16"/>
      <c r="I79" s="15"/>
      <c r="J79" s="15"/>
      <c r="K79" s="11" t="s">
        <v>274</v>
      </c>
    </row>
    <row r="80" customFormat="false" ht="15" hidden="false" customHeight="false" outlineLevel="0" collapsed="false">
      <c r="A80" s="9" t="n">
        <v>79</v>
      </c>
      <c r="B80" s="8" t="s">
        <v>270</v>
      </c>
      <c r="C80" s="9" t="s">
        <v>291</v>
      </c>
      <c r="D80" s="11" t="s">
        <v>76</v>
      </c>
      <c r="E80" s="11" t="s">
        <v>292</v>
      </c>
      <c r="F80" s="11" t="s">
        <v>68</v>
      </c>
      <c r="G80" s="15"/>
      <c r="H80" s="16"/>
      <c r="I80" s="15"/>
      <c r="J80" s="15"/>
      <c r="K80" s="11" t="s">
        <v>274</v>
      </c>
    </row>
    <row r="81" customFormat="false" ht="15" hidden="false" customHeight="false" outlineLevel="0" collapsed="false">
      <c r="A81" s="9" t="n">
        <v>80</v>
      </c>
      <c r="B81" s="8" t="s">
        <v>270</v>
      </c>
      <c r="C81" s="9" t="s">
        <v>293</v>
      </c>
      <c r="D81" s="8" t="s">
        <v>294</v>
      </c>
      <c r="E81" s="11" t="s">
        <v>295</v>
      </c>
      <c r="F81" s="11" t="s">
        <v>68</v>
      </c>
      <c r="G81" s="15"/>
      <c r="H81" s="16"/>
      <c r="I81" s="15"/>
      <c r="J81" s="15"/>
      <c r="K81" s="11" t="s">
        <v>274</v>
      </c>
    </row>
    <row r="82" customFormat="false" ht="15" hidden="false" customHeight="false" outlineLevel="0" collapsed="false">
      <c r="A82" s="9" t="n">
        <v>81</v>
      </c>
      <c r="B82" s="8" t="s">
        <v>296</v>
      </c>
      <c r="C82" s="9" t="s">
        <v>297</v>
      </c>
      <c r="D82" s="11" t="s">
        <v>298</v>
      </c>
      <c r="E82" s="11" t="s">
        <v>299</v>
      </c>
      <c r="F82" s="11" t="s">
        <v>68</v>
      </c>
      <c r="G82" s="15"/>
      <c r="H82" s="16"/>
      <c r="I82" s="15"/>
      <c r="J82" s="15"/>
      <c r="K82" s="11" t="s">
        <v>300</v>
      </c>
    </row>
    <row r="83" customFormat="false" ht="15" hidden="false" customHeight="false" outlineLevel="0" collapsed="false">
      <c r="A83" s="9" t="n">
        <v>82</v>
      </c>
      <c r="B83" s="8" t="s">
        <v>296</v>
      </c>
      <c r="C83" s="9" t="s">
        <v>301</v>
      </c>
      <c r="D83" s="11" t="s">
        <v>302</v>
      </c>
      <c r="E83" s="11" t="s">
        <v>303</v>
      </c>
      <c r="F83" s="11" t="s">
        <v>68</v>
      </c>
      <c r="G83" s="15"/>
      <c r="H83" s="16"/>
      <c r="I83" s="15"/>
      <c r="J83" s="15"/>
      <c r="K83" s="11" t="s">
        <v>300</v>
      </c>
    </row>
    <row r="84" customFormat="false" ht="15" hidden="false" customHeight="false" outlineLevel="0" collapsed="false">
      <c r="A84" s="9" t="n">
        <v>83</v>
      </c>
      <c r="B84" s="8" t="s">
        <v>296</v>
      </c>
      <c r="C84" s="9" t="s">
        <v>304</v>
      </c>
      <c r="D84" s="11" t="s">
        <v>305</v>
      </c>
      <c r="E84" s="11" t="s">
        <v>306</v>
      </c>
      <c r="F84" s="11" t="s">
        <v>68</v>
      </c>
      <c r="G84" s="15"/>
      <c r="H84" s="16"/>
      <c r="I84" s="15"/>
      <c r="J84" s="15"/>
      <c r="K84" s="11" t="s">
        <v>300</v>
      </c>
    </row>
    <row r="85" customFormat="false" ht="15" hidden="false" customHeight="false" outlineLevel="0" collapsed="false">
      <c r="A85" s="9" t="n">
        <v>84</v>
      </c>
      <c r="B85" s="8" t="s">
        <v>296</v>
      </c>
      <c r="C85" s="9" t="s">
        <v>307</v>
      </c>
      <c r="D85" s="11" t="s">
        <v>308</v>
      </c>
      <c r="E85" s="11" t="s">
        <v>309</v>
      </c>
      <c r="F85" s="11" t="s">
        <v>68</v>
      </c>
      <c r="G85" s="15"/>
      <c r="H85" s="16"/>
      <c r="I85" s="15"/>
      <c r="J85" s="15"/>
      <c r="K85" s="11" t="s">
        <v>300</v>
      </c>
    </row>
    <row r="86" customFormat="false" ht="15" hidden="false" customHeight="false" outlineLevel="0" collapsed="false">
      <c r="A86" s="9" t="n">
        <v>85</v>
      </c>
      <c r="B86" s="8" t="s">
        <v>296</v>
      </c>
      <c r="C86" s="9" t="s">
        <v>310</v>
      </c>
      <c r="D86" s="11" t="s">
        <v>311</v>
      </c>
      <c r="E86" s="11" t="s">
        <v>312</v>
      </c>
      <c r="F86" s="11" t="s">
        <v>68</v>
      </c>
      <c r="G86" s="15"/>
      <c r="H86" s="16"/>
      <c r="I86" s="15"/>
      <c r="J86" s="15"/>
      <c r="K86" s="11" t="s">
        <v>300</v>
      </c>
    </row>
    <row r="87" customFormat="false" ht="15" hidden="false" customHeight="false" outlineLevel="0" collapsed="false">
      <c r="A87" s="9" t="n">
        <v>86</v>
      </c>
      <c r="B87" s="8" t="s">
        <v>296</v>
      </c>
      <c r="C87" s="9" t="s">
        <v>313</v>
      </c>
      <c r="D87" s="11" t="s">
        <v>314</v>
      </c>
      <c r="E87" s="11" t="s">
        <v>315</v>
      </c>
      <c r="F87" s="11" t="s">
        <v>68</v>
      </c>
      <c r="G87" s="15"/>
      <c r="H87" s="16"/>
      <c r="I87" s="15"/>
      <c r="J87" s="15"/>
      <c r="K87" s="11" t="s">
        <v>300</v>
      </c>
    </row>
    <row r="88" customFormat="false" ht="15" hidden="false" customHeight="false" outlineLevel="0" collapsed="false">
      <c r="A88" s="9" t="n">
        <v>87</v>
      </c>
      <c r="B88" s="8" t="s">
        <v>296</v>
      </c>
      <c r="C88" s="9" t="s">
        <v>316</v>
      </c>
      <c r="D88" s="11" t="s">
        <v>317</v>
      </c>
      <c r="E88" s="11" t="s">
        <v>318</v>
      </c>
      <c r="F88" s="11" t="s">
        <v>68</v>
      </c>
      <c r="G88" s="15"/>
      <c r="H88" s="16"/>
      <c r="I88" s="15"/>
      <c r="J88" s="15"/>
      <c r="K88" s="11" t="s">
        <v>300</v>
      </c>
    </row>
    <row r="89" customFormat="false" ht="15" hidden="false" customHeight="false" outlineLevel="0" collapsed="false">
      <c r="A89" s="9" t="n">
        <v>88</v>
      </c>
      <c r="B89" s="8" t="s">
        <v>296</v>
      </c>
      <c r="C89" s="9" t="s">
        <v>319</v>
      </c>
      <c r="D89" s="11" t="s">
        <v>320</v>
      </c>
      <c r="E89" s="11" t="s">
        <v>321</v>
      </c>
      <c r="F89" s="11" t="s">
        <v>68</v>
      </c>
      <c r="G89" s="15"/>
      <c r="H89" s="16"/>
      <c r="I89" s="15"/>
      <c r="J89" s="15"/>
      <c r="K89" s="11" t="s">
        <v>300</v>
      </c>
    </row>
    <row r="90" customFormat="false" ht="15" hidden="false" customHeight="false" outlineLevel="0" collapsed="false">
      <c r="A90" s="9" t="n">
        <v>89</v>
      </c>
      <c r="B90" s="8" t="s">
        <v>296</v>
      </c>
      <c r="C90" s="9" t="s">
        <v>322</v>
      </c>
      <c r="D90" s="11" t="s">
        <v>323</v>
      </c>
      <c r="E90" s="11" t="s">
        <v>324</v>
      </c>
      <c r="F90" s="11" t="s">
        <v>68</v>
      </c>
      <c r="G90" s="15"/>
      <c r="H90" s="16"/>
      <c r="I90" s="15"/>
      <c r="J90" s="15"/>
      <c r="K90" s="11" t="s">
        <v>300</v>
      </c>
    </row>
    <row r="91" customFormat="false" ht="15" hidden="false" customHeight="false" outlineLevel="0" collapsed="false">
      <c r="A91" s="9" t="n">
        <v>90</v>
      </c>
      <c r="B91" s="8" t="s">
        <v>296</v>
      </c>
      <c r="C91" s="9" t="s">
        <v>325</v>
      </c>
      <c r="D91" s="11" t="s">
        <v>326</v>
      </c>
      <c r="E91" s="11" t="s">
        <v>327</v>
      </c>
      <c r="F91" s="11" t="s">
        <v>68</v>
      </c>
      <c r="G91" s="15"/>
      <c r="H91" s="16"/>
      <c r="I91" s="15"/>
      <c r="J91" s="15"/>
      <c r="K91" s="11" t="s">
        <v>300</v>
      </c>
    </row>
    <row r="92" customFormat="false" ht="15" hidden="false" customHeight="false" outlineLevel="0" collapsed="false">
      <c r="A92" s="9" t="n">
        <v>91</v>
      </c>
      <c r="B92" s="8" t="s">
        <v>296</v>
      </c>
      <c r="C92" s="9" t="s">
        <v>328</v>
      </c>
      <c r="D92" s="11" t="s">
        <v>329</v>
      </c>
      <c r="E92" s="11" t="s">
        <v>330</v>
      </c>
      <c r="F92" s="11" t="s">
        <v>68</v>
      </c>
      <c r="G92" s="15"/>
      <c r="H92" s="16"/>
      <c r="I92" s="15"/>
      <c r="J92" s="15"/>
      <c r="K92" s="11" t="s">
        <v>300</v>
      </c>
    </row>
    <row r="93" customFormat="false" ht="15" hidden="false" customHeight="false" outlineLevel="0" collapsed="false">
      <c r="A93" s="9" t="n">
        <v>92</v>
      </c>
      <c r="B93" s="8" t="s">
        <v>296</v>
      </c>
      <c r="C93" s="9" t="s">
        <v>331</v>
      </c>
      <c r="D93" s="11" t="s">
        <v>332</v>
      </c>
      <c r="E93" s="11" t="s">
        <v>333</v>
      </c>
      <c r="F93" s="11" t="s">
        <v>68</v>
      </c>
      <c r="G93" s="15"/>
      <c r="H93" s="16"/>
      <c r="I93" s="15"/>
      <c r="J93" s="15"/>
      <c r="K93" s="11" t="s">
        <v>300</v>
      </c>
    </row>
    <row r="94" customFormat="false" ht="15" hidden="false" customHeight="false" outlineLevel="0" collapsed="false">
      <c r="A94" s="9" t="n">
        <v>93</v>
      </c>
      <c r="B94" s="8" t="s">
        <v>296</v>
      </c>
      <c r="C94" s="9" t="s">
        <v>334</v>
      </c>
      <c r="D94" s="11" t="s">
        <v>335</v>
      </c>
      <c r="E94" s="11" t="s">
        <v>335</v>
      </c>
      <c r="F94" s="11" t="s">
        <v>68</v>
      </c>
      <c r="G94" s="15"/>
      <c r="H94" s="16"/>
      <c r="I94" s="15"/>
      <c r="J94" s="15"/>
      <c r="K94" s="11" t="s">
        <v>300</v>
      </c>
    </row>
    <row r="95" customFormat="false" ht="15" hidden="false" customHeight="false" outlineLevel="0" collapsed="false">
      <c r="A95" s="9" t="n">
        <v>94</v>
      </c>
      <c r="B95" s="8" t="s">
        <v>296</v>
      </c>
      <c r="C95" s="9" t="s">
        <v>336</v>
      </c>
      <c r="D95" s="11" t="s">
        <v>337</v>
      </c>
      <c r="E95" s="11" t="s">
        <v>338</v>
      </c>
      <c r="F95" s="11" t="s">
        <v>68</v>
      </c>
      <c r="G95" s="15"/>
      <c r="H95" s="16"/>
      <c r="I95" s="15"/>
      <c r="J95" s="15"/>
      <c r="K95" s="11" t="s">
        <v>300</v>
      </c>
    </row>
    <row r="96" customFormat="false" ht="15" hidden="false" customHeight="false" outlineLevel="0" collapsed="false">
      <c r="A96" s="9" t="n">
        <v>95</v>
      </c>
      <c r="B96" s="8" t="s">
        <v>296</v>
      </c>
      <c r="C96" s="9" t="s">
        <v>339</v>
      </c>
      <c r="D96" s="11" t="s">
        <v>340</v>
      </c>
      <c r="E96" s="11" t="s">
        <v>341</v>
      </c>
      <c r="F96" s="11" t="s">
        <v>68</v>
      </c>
      <c r="G96" s="15"/>
      <c r="H96" s="16"/>
      <c r="I96" s="15"/>
      <c r="J96" s="15"/>
      <c r="K96" s="11" t="s">
        <v>300</v>
      </c>
    </row>
    <row r="97" customFormat="false" ht="15" hidden="false" customHeight="false" outlineLevel="0" collapsed="false">
      <c r="A97" s="9" t="n">
        <v>96</v>
      </c>
      <c r="B97" s="8" t="s">
        <v>296</v>
      </c>
      <c r="C97" s="9" t="s">
        <v>342</v>
      </c>
      <c r="D97" s="11" t="s">
        <v>343</v>
      </c>
      <c r="E97" s="11" t="s">
        <v>344</v>
      </c>
      <c r="F97" s="11" t="s">
        <v>68</v>
      </c>
      <c r="G97" s="15"/>
      <c r="H97" s="16"/>
      <c r="I97" s="15"/>
      <c r="J97" s="15"/>
      <c r="K97" s="11" t="s">
        <v>300</v>
      </c>
    </row>
    <row r="98" customFormat="false" ht="15" hidden="false" customHeight="false" outlineLevel="0" collapsed="false">
      <c r="A98" s="9" t="n">
        <v>97</v>
      </c>
      <c r="B98" s="8" t="s">
        <v>345</v>
      </c>
      <c r="C98" s="9" t="s">
        <v>346</v>
      </c>
      <c r="D98" s="8" t="s">
        <v>347</v>
      </c>
      <c r="E98" s="8" t="s">
        <v>348</v>
      </c>
      <c r="F98" s="11" t="s">
        <v>68</v>
      </c>
      <c r="G98" s="15"/>
      <c r="H98" s="16"/>
      <c r="I98" s="15"/>
      <c r="J98" s="15"/>
      <c r="K98" s="11" t="s">
        <v>349</v>
      </c>
    </row>
    <row r="99" customFormat="false" ht="15" hidden="false" customHeight="false" outlineLevel="0" collapsed="false">
      <c r="A99" s="9" t="n">
        <v>98</v>
      </c>
      <c r="B99" s="8" t="s">
        <v>345</v>
      </c>
      <c r="C99" s="9" t="s">
        <v>350</v>
      </c>
      <c r="D99" s="8" t="s">
        <v>351</v>
      </c>
      <c r="E99" s="8" t="s">
        <v>352</v>
      </c>
      <c r="F99" s="11" t="s">
        <v>68</v>
      </c>
      <c r="G99" s="15"/>
      <c r="H99" s="16"/>
      <c r="I99" s="15"/>
      <c r="J99" s="15"/>
      <c r="K99" s="11" t="s">
        <v>349</v>
      </c>
    </row>
    <row r="100" customFormat="false" ht="15" hidden="false" customHeight="false" outlineLevel="0" collapsed="false">
      <c r="A100" s="9" t="n">
        <v>99</v>
      </c>
      <c r="B100" s="8" t="s">
        <v>345</v>
      </c>
      <c r="C100" s="9" t="s">
        <v>353</v>
      </c>
      <c r="D100" s="11" t="s">
        <v>354</v>
      </c>
      <c r="E100" s="11" t="s">
        <v>355</v>
      </c>
      <c r="F100" s="11" t="s">
        <v>68</v>
      </c>
      <c r="G100" s="15"/>
      <c r="H100" s="16"/>
      <c r="I100" s="15"/>
      <c r="J100" s="15"/>
      <c r="K100" s="11" t="s">
        <v>349</v>
      </c>
    </row>
    <row r="101" customFormat="false" ht="15" hidden="false" customHeight="false" outlineLevel="0" collapsed="false">
      <c r="A101" s="9" t="n">
        <v>100</v>
      </c>
      <c r="B101" s="8" t="s">
        <v>345</v>
      </c>
      <c r="C101" s="9" t="s">
        <v>356</v>
      </c>
      <c r="D101" s="11" t="s">
        <v>357</v>
      </c>
      <c r="E101" s="11" t="s">
        <v>358</v>
      </c>
      <c r="F101" s="11" t="s">
        <v>68</v>
      </c>
      <c r="G101" s="15"/>
      <c r="H101" s="16"/>
      <c r="I101" s="15"/>
      <c r="J101" s="15"/>
      <c r="K101" s="11" t="s">
        <v>349</v>
      </c>
    </row>
    <row r="102" customFormat="false" ht="15" hidden="false" customHeight="false" outlineLevel="0" collapsed="false">
      <c r="A102" s="9" t="n">
        <v>101</v>
      </c>
      <c r="B102" s="8" t="s">
        <v>345</v>
      </c>
      <c r="C102" s="9" t="s">
        <v>359</v>
      </c>
      <c r="D102" s="11" t="s">
        <v>360</v>
      </c>
      <c r="E102" s="11" t="s">
        <v>361</v>
      </c>
      <c r="F102" s="11" t="s">
        <v>68</v>
      </c>
      <c r="G102" s="15"/>
      <c r="H102" s="16"/>
      <c r="I102" s="15"/>
      <c r="J102" s="15"/>
      <c r="K102" s="11" t="s">
        <v>349</v>
      </c>
    </row>
    <row r="103" customFormat="false" ht="15" hidden="false" customHeight="false" outlineLevel="0" collapsed="false">
      <c r="A103" s="9" t="n">
        <v>102</v>
      </c>
      <c r="B103" s="8" t="s">
        <v>345</v>
      </c>
      <c r="C103" s="9" t="s">
        <v>362</v>
      </c>
      <c r="D103" s="11" t="s">
        <v>363</v>
      </c>
      <c r="E103" s="11" t="s">
        <v>364</v>
      </c>
      <c r="F103" s="11" t="s">
        <v>68</v>
      </c>
      <c r="G103" s="15"/>
      <c r="H103" s="16"/>
      <c r="I103" s="15"/>
      <c r="J103" s="15"/>
      <c r="K103" s="11" t="s">
        <v>349</v>
      </c>
    </row>
    <row r="104" customFormat="false" ht="15" hidden="false" customHeight="false" outlineLevel="0" collapsed="false">
      <c r="A104" s="9" t="n">
        <v>103</v>
      </c>
      <c r="B104" s="8" t="s">
        <v>345</v>
      </c>
      <c r="C104" s="9" t="s">
        <v>365</v>
      </c>
      <c r="D104" s="11" t="s">
        <v>366</v>
      </c>
      <c r="E104" s="11" t="s">
        <v>367</v>
      </c>
      <c r="F104" s="11" t="s">
        <v>68</v>
      </c>
      <c r="G104" s="15"/>
      <c r="H104" s="16"/>
      <c r="I104" s="15"/>
      <c r="J104" s="15"/>
      <c r="K104" s="11" t="s">
        <v>349</v>
      </c>
    </row>
    <row r="105" customFormat="false" ht="15" hidden="false" customHeight="false" outlineLevel="0" collapsed="false">
      <c r="A105" s="9" t="n">
        <v>104</v>
      </c>
      <c r="B105" s="8" t="s">
        <v>368</v>
      </c>
      <c r="C105" s="9" t="s">
        <v>369</v>
      </c>
      <c r="D105" s="11" t="s">
        <v>370</v>
      </c>
      <c r="E105" s="11" t="s">
        <v>370</v>
      </c>
      <c r="F105" s="11" t="s">
        <v>68</v>
      </c>
      <c r="G105" s="15"/>
      <c r="H105" s="16"/>
      <c r="I105" s="15"/>
      <c r="J105" s="15"/>
      <c r="K105" s="11" t="s">
        <v>221</v>
      </c>
    </row>
    <row r="106" customFormat="false" ht="15" hidden="false" customHeight="false" outlineLevel="0" collapsed="false">
      <c r="A106" s="9" t="n">
        <v>105</v>
      </c>
      <c r="B106" s="8" t="s">
        <v>368</v>
      </c>
      <c r="C106" s="9" t="s">
        <v>371</v>
      </c>
      <c r="D106" s="11" t="s">
        <v>372</v>
      </c>
      <c r="E106" s="11" t="s">
        <v>373</v>
      </c>
      <c r="F106" s="11" t="s">
        <v>68</v>
      </c>
      <c r="G106" s="15"/>
      <c r="H106" s="16"/>
      <c r="I106" s="15"/>
      <c r="J106" s="15"/>
      <c r="K106" s="11" t="s">
        <v>221</v>
      </c>
    </row>
  </sheetData>
  <autoFilter ref="A1:K106"/>
  <dataValidations count="1">
    <dataValidation allowBlank="true" error="请选择：通过 / 失败 / 阻塞 / 不适用（留空 = 未测）" errorStyle="stop" errorTitle="测试结果" operator="between" showDropDown="false" showErrorMessage="false" showInputMessage="false" sqref="G2:G106" type="list">
      <formula1>"通过,失败,阻塞,不适用"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7" t="s">
        <v>62</v>
      </c>
      <c r="B1" s="7" t="s">
        <v>20</v>
      </c>
      <c r="C1" s="7" t="s">
        <v>21</v>
      </c>
      <c r="D1" s="7" t="s">
        <v>22</v>
      </c>
      <c r="E1" s="7" t="s">
        <v>63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64</v>
      </c>
    </row>
    <row r="2" customFormat="false" ht="15" hidden="false" customHeight="false" outlineLevel="0" collapsed="false">
      <c r="A2" s="9" t="n">
        <v>1</v>
      </c>
      <c r="B2" s="8" t="s">
        <v>374</v>
      </c>
      <c r="C2" s="9" t="s">
        <v>375</v>
      </c>
      <c r="D2" s="8" t="s">
        <v>376</v>
      </c>
      <c r="E2" s="8" t="s">
        <v>376</v>
      </c>
      <c r="F2" s="11" t="s">
        <v>377</v>
      </c>
      <c r="G2" s="15"/>
      <c r="H2" s="16"/>
      <c r="I2" s="15"/>
      <c r="J2" s="15"/>
      <c r="K2" s="8" t="s">
        <v>378</v>
      </c>
    </row>
    <row r="3" customFormat="false" ht="15" hidden="false" customHeight="false" outlineLevel="0" collapsed="false">
      <c r="A3" s="9" t="n">
        <v>2</v>
      </c>
      <c r="B3" s="8" t="s">
        <v>374</v>
      </c>
      <c r="C3" s="9" t="s">
        <v>379</v>
      </c>
      <c r="D3" s="8" t="s">
        <v>380</v>
      </c>
      <c r="E3" s="8" t="s">
        <v>380</v>
      </c>
      <c r="F3" s="11" t="s">
        <v>377</v>
      </c>
      <c r="G3" s="15"/>
      <c r="H3" s="16"/>
      <c r="I3" s="15"/>
      <c r="J3" s="15"/>
      <c r="K3" s="11" t="s">
        <v>381</v>
      </c>
    </row>
    <row r="4" customFormat="false" ht="15" hidden="false" customHeight="false" outlineLevel="0" collapsed="false">
      <c r="A4" s="9" t="n">
        <v>3</v>
      </c>
      <c r="B4" s="8" t="s">
        <v>374</v>
      </c>
      <c r="C4" s="9" t="s">
        <v>382</v>
      </c>
      <c r="D4" s="8" t="s">
        <v>383</v>
      </c>
      <c r="E4" s="8" t="s">
        <v>384</v>
      </c>
      <c r="F4" s="11" t="s">
        <v>377</v>
      </c>
      <c r="G4" s="15"/>
      <c r="H4" s="16"/>
      <c r="I4" s="15"/>
      <c r="J4" s="15"/>
      <c r="K4" s="11" t="s">
        <v>381</v>
      </c>
    </row>
    <row r="5" customFormat="false" ht="15" hidden="false" customHeight="false" outlineLevel="0" collapsed="false">
      <c r="A5" s="9" t="n">
        <v>4</v>
      </c>
      <c r="B5" s="8" t="s">
        <v>374</v>
      </c>
      <c r="C5" s="9" t="s">
        <v>385</v>
      </c>
      <c r="D5" s="8" t="s">
        <v>386</v>
      </c>
      <c r="E5" s="8" t="s">
        <v>386</v>
      </c>
      <c r="F5" s="11" t="s">
        <v>377</v>
      </c>
      <c r="G5" s="15"/>
      <c r="H5" s="16"/>
      <c r="I5" s="15"/>
      <c r="J5" s="15"/>
      <c r="K5" s="11" t="s">
        <v>381</v>
      </c>
    </row>
    <row r="6" customFormat="false" ht="15" hidden="false" customHeight="false" outlineLevel="0" collapsed="false">
      <c r="A6" s="9" t="n">
        <v>5</v>
      </c>
      <c r="B6" s="8" t="s">
        <v>374</v>
      </c>
      <c r="C6" s="9" t="s">
        <v>387</v>
      </c>
      <c r="D6" s="8" t="s">
        <v>388</v>
      </c>
      <c r="E6" s="8" t="s">
        <v>388</v>
      </c>
      <c r="F6" s="11" t="s">
        <v>377</v>
      </c>
      <c r="G6" s="15"/>
      <c r="H6" s="16"/>
      <c r="I6" s="15"/>
      <c r="J6" s="15"/>
      <c r="K6" s="8" t="s">
        <v>389</v>
      </c>
    </row>
    <row r="7" customFormat="false" ht="15" hidden="false" customHeight="false" outlineLevel="0" collapsed="false">
      <c r="A7" s="9" t="n">
        <v>6</v>
      </c>
      <c r="B7" s="8" t="s">
        <v>390</v>
      </c>
      <c r="C7" s="9" t="s">
        <v>391</v>
      </c>
      <c r="D7" s="11" t="s">
        <v>392</v>
      </c>
      <c r="E7" s="11" t="s">
        <v>393</v>
      </c>
      <c r="F7" s="11" t="s">
        <v>377</v>
      </c>
      <c r="G7" s="15"/>
      <c r="H7" s="16"/>
      <c r="I7" s="15"/>
      <c r="J7" s="15"/>
      <c r="K7" s="8" t="s">
        <v>394</v>
      </c>
    </row>
    <row r="8" customFormat="false" ht="15" hidden="false" customHeight="false" outlineLevel="0" collapsed="false">
      <c r="A8" s="9" t="n">
        <v>7</v>
      </c>
      <c r="B8" s="8" t="s">
        <v>390</v>
      </c>
      <c r="C8" s="9" t="s">
        <v>395</v>
      </c>
      <c r="D8" s="11" t="s">
        <v>396</v>
      </c>
      <c r="E8" s="11" t="s">
        <v>397</v>
      </c>
      <c r="F8" s="11" t="s">
        <v>377</v>
      </c>
      <c r="G8" s="15"/>
      <c r="H8" s="16"/>
      <c r="I8" s="15"/>
      <c r="J8" s="15"/>
      <c r="K8" s="8" t="s">
        <v>398</v>
      </c>
    </row>
    <row r="9" customFormat="false" ht="15" hidden="false" customHeight="false" outlineLevel="0" collapsed="false">
      <c r="A9" s="9" t="n">
        <v>8</v>
      </c>
      <c r="B9" s="8" t="s">
        <v>390</v>
      </c>
      <c r="C9" s="9" t="s">
        <v>399</v>
      </c>
      <c r="D9" s="8" t="s">
        <v>400</v>
      </c>
      <c r="E9" s="8" t="s">
        <v>401</v>
      </c>
      <c r="F9" s="11" t="s">
        <v>377</v>
      </c>
      <c r="G9" s="15"/>
      <c r="H9" s="16"/>
      <c r="I9" s="15"/>
      <c r="J9" s="15"/>
      <c r="K9" s="11" t="s">
        <v>402</v>
      </c>
    </row>
    <row r="10" customFormat="false" ht="15" hidden="false" customHeight="false" outlineLevel="0" collapsed="false">
      <c r="A10" s="9" t="n">
        <v>9</v>
      </c>
      <c r="B10" s="8" t="s">
        <v>390</v>
      </c>
      <c r="C10" s="9" t="s">
        <v>403</v>
      </c>
      <c r="D10" s="8" t="s">
        <v>404</v>
      </c>
      <c r="E10" s="8" t="s">
        <v>405</v>
      </c>
      <c r="F10" s="11" t="s">
        <v>377</v>
      </c>
      <c r="G10" s="15"/>
      <c r="H10" s="16"/>
      <c r="I10" s="15"/>
      <c r="J10" s="15"/>
      <c r="K10" s="8" t="s">
        <v>406</v>
      </c>
    </row>
    <row r="11" customFormat="false" ht="15" hidden="false" customHeight="false" outlineLevel="0" collapsed="false">
      <c r="A11" s="9" t="n">
        <v>10</v>
      </c>
      <c r="B11" s="8" t="s">
        <v>390</v>
      </c>
      <c r="C11" s="9" t="s">
        <v>407</v>
      </c>
      <c r="D11" s="8" t="s">
        <v>408</v>
      </c>
      <c r="E11" s="8" t="s">
        <v>409</v>
      </c>
      <c r="F11" s="11" t="s">
        <v>377</v>
      </c>
      <c r="G11" s="15"/>
      <c r="H11" s="16"/>
      <c r="I11" s="15"/>
      <c r="J11" s="15"/>
      <c r="K11" s="11" t="s">
        <v>402</v>
      </c>
    </row>
    <row r="12" customFormat="false" ht="15" hidden="false" customHeight="false" outlineLevel="0" collapsed="false">
      <c r="A12" s="9" t="n">
        <v>11</v>
      </c>
      <c r="B12" s="8" t="s">
        <v>390</v>
      </c>
      <c r="C12" s="9" t="s">
        <v>410</v>
      </c>
      <c r="D12" s="11" t="s">
        <v>411</v>
      </c>
      <c r="E12" s="11" t="s">
        <v>412</v>
      </c>
      <c r="F12" s="11" t="s">
        <v>377</v>
      </c>
      <c r="G12" s="15"/>
      <c r="H12" s="16"/>
      <c r="I12" s="15"/>
      <c r="J12" s="15"/>
      <c r="K12" s="11" t="s">
        <v>402</v>
      </c>
    </row>
    <row r="13" customFormat="false" ht="15" hidden="false" customHeight="false" outlineLevel="0" collapsed="false">
      <c r="A13" s="9" t="n">
        <v>12</v>
      </c>
      <c r="B13" s="8" t="s">
        <v>390</v>
      </c>
      <c r="C13" s="9" t="s">
        <v>413</v>
      </c>
      <c r="D13" s="11" t="s">
        <v>414</v>
      </c>
      <c r="E13" s="11" t="s">
        <v>414</v>
      </c>
      <c r="F13" s="11" t="s">
        <v>377</v>
      </c>
      <c r="G13" s="15"/>
      <c r="H13" s="16"/>
      <c r="I13" s="15"/>
      <c r="J13" s="15"/>
      <c r="K13" s="11" t="s">
        <v>402</v>
      </c>
    </row>
    <row r="14" customFormat="false" ht="15" hidden="false" customHeight="false" outlineLevel="0" collapsed="false">
      <c r="A14" s="9" t="n">
        <v>13</v>
      </c>
      <c r="B14" s="8" t="s">
        <v>415</v>
      </c>
      <c r="C14" s="9" t="s">
        <v>416</v>
      </c>
      <c r="D14" s="11" t="s">
        <v>417</v>
      </c>
      <c r="E14" s="11" t="s">
        <v>417</v>
      </c>
      <c r="F14" s="11" t="s">
        <v>377</v>
      </c>
      <c r="G14" s="15"/>
      <c r="H14" s="16"/>
      <c r="I14" s="15"/>
      <c r="J14" s="15"/>
      <c r="K14" s="11" t="s">
        <v>418</v>
      </c>
    </row>
    <row r="15" customFormat="false" ht="15" hidden="false" customHeight="false" outlineLevel="0" collapsed="false">
      <c r="A15" s="9" t="n">
        <v>14</v>
      </c>
      <c r="B15" s="8" t="s">
        <v>415</v>
      </c>
      <c r="C15" s="9" t="s">
        <v>419</v>
      </c>
      <c r="D15" s="11" t="s">
        <v>420</v>
      </c>
      <c r="E15" s="11" t="s">
        <v>420</v>
      </c>
      <c r="F15" s="11" t="s">
        <v>377</v>
      </c>
      <c r="G15" s="15"/>
      <c r="H15" s="16"/>
      <c r="I15" s="15"/>
      <c r="J15" s="15"/>
      <c r="K15" s="11" t="s">
        <v>421</v>
      </c>
    </row>
    <row r="16" customFormat="false" ht="15" hidden="false" customHeight="false" outlineLevel="0" collapsed="false">
      <c r="A16" s="9" t="n">
        <v>15</v>
      </c>
      <c r="B16" s="8" t="s">
        <v>415</v>
      </c>
      <c r="C16" s="9" t="s">
        <v>422</v>
      </c>
      <c r="D16" s="11" t="s">
        <v>423</v>
      </c>
      <c r="E16" s="11" t="s">
        <v>424</v>
      </c>
      <c r="F16" s="11" t="s">
        <v>377</v>
      </c>
      <c r="G16" s="15"/>
      <c r="H16" s="16"/>
      <c r="I16" s="15"/>
      <c r="J16" s="15"/>
      <c r="K16" s="11" t="s">
        <v>425</v>
      </c>
    </row>
    <row r="17" customFormat="false" ht="15" hidden="false" customHeight="false" outlineLevel="0" collapsed="false">
      <c r="A17" s="9" t="n">
        <v>16</v>
      </c>
      <c r="B17" s="8" t="s">
        <v>415</v>
      </c>
      <c r="C17" s="9" t="s">
        <v>426</v>
      </c>
      <c r="D17" s="11" t="s">
        <v>427</v>
      </c>
      <c r="E17" s="11" t="s">
        <v>428</v>
      </c>
      <c r="F17" s="11" t="s">
        <v>377</v>
      </c>
      <c r="G17" s="15"/>
      <c r="H17" s="16"/>
      <c r="I17" s="15"/>
      <c r="J17" s="15"/>
      <c r="K17" s="11" t="s">
        <v>429</v>
      </c>
    </row>
    <row r="18" customFormat="false" ht="15" hidden="false" customHeight="false" outlineLevel="0" collapsed="false">
      <c r="A18" s="9" t="n">
        <v>17</v>
      </c>
      <c r="B18" s="8" t="s">
        <v>415</v>
      </c>
      <c r="C18" s="9" t="s">
        <v>430</v>
      </c>
      <c r="D18" s="11" t="s">
        <v>431</v>
      </c>
      <c r="E18" s="11" t="s">
        <v>432</v>
      </c>
      <c r="F18" s="11" t="s">
        <v>377</v>
      </c>
      <c r="G18" s="15"/>
      <c r="H18" s="16"/>
      <c r="I18" s="15"/>
      <c r="J18" s="15"/>
      <c r="K18" s="11" t="s">
        <v>433</v>
      </c>
    </row>
    <row r="19" customFormat="false" ht="15" hidden="false" customHeight="false" outlineLevel="0" collapsed="false">
      <c r="A19" s="9" t="n">
        <v>18</v>
      </c>
      <c r="B19" s="8" t="s">
        <v>415</v>
      </c>
      <c r="C19" s="9" t="s">
        <v>434</v>
      </c>
      <c r="D19" s="11" t="s">
        <v>435</v>
      </c>
      <c r="E19" s="11" t="s">
        <v>435</v>
      </c>
      <c r="F19" s="11" t="s">
        <v>377</v>
      </c>
      <c r="G19" s="15"/>
      <c r="H19" s="16"/>
      <c r="I19" s="15"/>
      <c r="J19" s="15"/>
      <c r="K19" s="11" t="s">
        <v>436</v>
      </c>
    </row>
    <row r="20" customFormat="false" ht="15" hidden="false" customHeight="false" outlineLevel="0" collapsed="false">
      <c r="A20" s="9" t="n">
        <v>19</v>
      </c>
      <c r="B20" s="8" t="s">
        <v>415</v>
      </c>
      <c r="C20" s="9" t="s">
        <v>437</v>
      </c>
      <c r="D20" s="11" t="s">
        <v>438</v>
      </c>
      <c r="E20" s="11" t="s">
        <v>439</v>
      </c>
      <c r="F20" s="11" t="s">
        <v>377</v>
      </c>
      <c r="G20" s="15"/>
      <c r="H20" s="16"/>
      <c r="I20" s="15"/>
      <c r="J20" s="15"/>
      <c r="K20" s="11" t="s">
        <v>440</v>
      </c>
    </row>
    <row r="21" customFormat="false" ht="15" hidden="false" customHeight="false" outlineLevel="0" collapsed="false">
      <c r="A21" s="9" t="n">
        <v>20</v>
      </c>
      <c r="B21" s="8" t="s">
        <v>441</v>
      </c>
      <c r="C21" s="9" t="s">
        <v>442</v>
      </c>
      <c r="D21" s="11" t="s">
        <v>443</v>
      </c>
      <c r="E21" s="11" t="s">
        <v>443</v>
      </c>
      <c r="F21" s="11" t="s">
        <v>377</v>
      </c>
      <c r="G21" s="15"/>
      <c r="H21" s="16"/>
      <c r="I21" s="15"/>
      <c r="J21" s="15"/>
      <c r="K21" s="11" t="s">
        <v>444</v>
      </c>
    </row>
    <row r="22" customFormat="false" ht="15" hidden="false" customHeight="false" outlineLevel="0" collapsed="false">
      <c r="A22" s="9" t="n">
        <v>21</v>
      </c>
      <c r="B22" s="8" t="s">
        <v>441</v>
      </c>
      <c r="C22" s="9" t="s">
        <v>445</v>
      </c>
      <c r="D22" s="11" t="s">
        <v>446</v>
      </c>
      <c r="E22" s="11" t="s">
        <v>446</v>
      </c>
      <c r="F22" s="11" t="s">
        <v>377</v>
      </c>
      <c r="G22" s="15"/>
      <c r="H22" s="16"/>
      <c r="I22" s="15"/>
      <c r="J22" s="15"/>
      <c r="K22" s="11" t="s">
        <v>381</v>
      </c>
    </row>
    <row r="23" customFormat="false" ht="15" hidden="false" customHeight="false" outlineLevel="0" collapsed="false">
      <c r="A23" s="9" t="n">
        <v>22</v>
      </c>
      <c r="B23" s="8" t="s">
        <v>447</v>
      </c>
      <c r="C23" s="9" t="s">
        <v>448</v>
      </c>
      <c r="D23" s="11" t="s">
        <v>449</v>
      </c>
      <c r="E23" s="11" t="s">
        <v>449</v>
      </c>
      <c r="F23" s="11" t="s">
        <v>377</v>
      </c>
      <c r="G23" s="15"/>
      <c r="H23" s="16"/>
      <c r="I23" s="15"/>
      <c r="J23" s="15"/>
      <c r="K23" s="11" t="s">
        <v>450</v>
      </c>
    </row>
    <row r="24" customFormat="false" ht="15" hidden="false" customHeight="false" outlineLevel="0" collapsed="false">
      <c r="A24" s="9" t="n">
        <v>23</v>
      </c>
      <c r="B24" s="8" t="s">
        <v>447</v>
      </c>
      <c r="C24" s="9" t="s">
        <v>451</v>
      </c>
      <c r="D24" s="11" t="s">
        <v>452</v>
      </c>
      <c r="E24" s="11" t="s">
        <v>453</v>
      </c>
      <c r="F24" s="11" t="s">
        <v>377</v>
      </c>
      <c r="G24" s="17" t="s">
        <v>32</v>
      </c>
      <c r="H24" s="18" t="s">
        <v>454</v>
      </c>
      <c r="I24" s="15" t="s">
        <v>455</v>
      </c>
      <c r="J24" s="15" t="s">
        <v>456</v>
      </c>
      <c r="K24" s="11" t="s">
        <v>457</v>
      </c>
    </row>
    <row r="25" customFormat="false" ht="15" hidden="false" customHeight="false" outlineLevel="0" collapsed="false">
      <c r="A25" s="9" t="n">
        <v>24</v>
      </c>
      <c r="B25" s="8" t="s">
        <v>447</v>
      </c>
      <c r="C25" s="9" t="s">
        <v>458</v>
      </c>
      <c r="D25" s="11" t="s">
        <v>459</v>
      </c>
      <c r="E25" s="11" t="s">
        <v>460</v>
      </c>
      <c r="F25" s="11" t="s">
        <v>377</v>
      </c>
      <c r="G25" s="17"/>
      <c r="H25" s="18"/>
      <c r="I25" s="15"/>
      <c r="J25" s="15"/>
      <c r="K25" s="11" t="s">
        <v>461</v>
      </c>
    </row>
    <row r="26" customFormat="false" ht="15" hidden="false" customHeight="false" outlineLevel="0" collapsed="false">
      <c r="A26" s="9" t="n">
        <v>25</v>
      </c>
      <c r="B26" s="8" t="s">
        <v>447</v>
      </c>
      <c r="C26" s="9" t="s">
        <v>462</v>
      </c>
      <c r="D26" s="8" t="s">
        <v>463</v>
      </c>
      <c r="E26" s="11" t="s">
        <v>464</v>
      </c>
      <c r="F26" s="11" t="s">
        <v>377</v>
      </c>
      <c r="G26" s="17" t="s">
        <v>32</v>
      </c>
      <c r="H26" s="18" t="s">
        <v>465</v>
      </c>
      <c r="I26" s="15" t="s">
        <v>455</v>
      </c>
      <c r="J26" s="15" t="s">
        <v>466</v>
      </c>
      <c r="K26" s="8" t="s">
        <v>467</v>
      </c>
    </row>
    <row r="27" customFormat="false" ht="15" hidden="false" customHeight="false" outlineLevel="0" collapsed="false">
      <c r="A27" s="9" t="n">
        <v>26</v>
      </c>
      <c r="B27" s="8" t="s">
        <v>447</v>
      </c>
      <c r="C27" s="9" t="s">
        <v>468</v>
      </c>
      <c r="D27" s="8" t="s">
        <v>469</v>
      </c>
      <c r="E27" s="8" t="s">
        <v>470</v>
      </c>
      <c r="F27" s="11" t="s">
        <v>377</v>
      </c>
      <c r="G27" s="17" t="s">
        <v>32</v>
      </c>
      <c r="H27" s="18" t="s">
        <v>471</v>
      </c>
      <c r="I27" s="15" t="s">
        <v>455</v>
      </c>
      <c r="J27" s="15" t="s">
        <v>456</v>
      </c>
      <c r="K27" s="11" t="s">
        <v>472</v>
      </c>
    </row>
    <row r="28" customFormat="false" ht="15" hidden="false" customHeight="false" outlineLevel="0" collapsed="false">
      <c r="A28" s="9" t="n">
        <v>27</v>
      </c>
      <c r="B28" s="8" t="s">
        <v>447</v>
      </c>
      <c r="C28" s="9" t="s">
        <v>473</v>
      </c>
      <c r="D28" s="8" t="s">
        <v>474</v>
      </c>
      <c r="E28" s="8" t="s">
        <v>474</v>
      </c>
      <c r="F28" s="11" t="s">
        <v>377</v>
      </c>
      <c r="G28" s="17"/>
      <c r="H28" s="18"/>
      <c r="I28" s="15"/>
      <c r="J28" s="15"/>
      <c r="K28" s="8" t="s">
        <v>475</v>
      </c>
    </row>
    <row r="29" customFormat="false" ht="15" hidden="false" customHeight="false" outlineLevel="0" collapsed="false">
      <c r="A29" s="9" t="n">
        <v>28</v>
      </c>
      <c r="B29" s="8" t="s">
        <v>447</v>
      </c>
      <c r="C29" s="9" t="s">
        <v>476</v>
      </c>
      <c r="D29" s="8" t="s">
        <v>477</v>
      </c>
      <c r="E29" s="8" t="s">
        <v>478</v>
      </c>
      <c r="F29" s="11" t="s">
        <v>377</v>
      </c>
      <c r="G29" s="17"/>
      <c r="H29" s="18"/>
      <c r="I29" s="15"/>
      <c r="J29" s="15"/>
      <c r="K29" s="8" t="s">
        <v>479</v>
      </c>
    </row>
    <row r="30" customFormat="false" ht="15" hidden="false" customHeight="false" outlineLevel="0" collapsed="false">
      <c r="A30" s="9" t="n">
        <v>29</v>
      </c>
      <c r="B30" s="8" t="s">
        <v>447</v>
      </c>
      <c r="C30" s="9" t="s">
        <v>480</v>
      </c>
      <c r="D30" s="11" t="s">
        <v>481</v>
      </c>
      <c r="E30" s="11" t="s">
        <v>482</v>
      </c>
      <c r="F30" s="11" t="s">
        <v>377</v>
      </c>
      <c r="G30" s="17"/>
      <c r="H30" s="18"/>
      <c r="I30" s="15"/>
      <c r="J30" s="15"/>
      <c r="K30" s="11" t="s">
        <v>483</v>
      </c>
    </row>
    <row r="31" customFormat="false" ht="15" hidden="false" customHeight="false" outlineLevel="0" collapsed="false">
      <c r="A31" s="9" t="n">
        <v>30</v>
      </c>
      <c r="B31" s="8" t="s">
        <v>484</v>
      </c>
      <c r="C31" s="9" t="s">
        <v>485</v>
      </c>
      <c r="D31" s="11" t="s">
        <v>486</v>
      </c>
      <c r="E31" s="11" t="s">
        <v>487</v>
      </c>
      <c r="F31" s="11" t="s">
        <v>377</v>
      </c>
      <c r="G31" s="17"/>
      <c r="H31" s="18"/>
      <c r="I31" s="15"/>
      <c r="J31" s="15"/>
      <c r="K31" s="11" t="s">
        <v>488</v>
      </c>
    </row>
    <row r="32" customFormat="false" ht="15" hidden="false" customHeight="false" outlineLevel="0" collapsed="false">
      <c r="A32" s="9" t="n">
        <v>31</v>
      </c>
      <c r="B32" s="8" t="s">
        <v>484</v>
      </c>
      <c r="C32" s="9" t="s">
        <v>489</v>
      </c>
      <c r="D32" s="11" t="s">
        <v>490</v>
      </c>
      <c r="E32" s="11" t="s">
        <v>490</v>
      </c>
      <c r="F32" s="11" t="s">
        <v>377</v>
      </c>
      <c r="G32" s="17"/>
      <c r="H32" s="18"/>
      <c r="I32" s="15"/>
      <c r="J32" s="15"/>
      <c r="K32" s="8" t="s">
        <v>491</v>
      </c>
    </row>
    <row r="33" customFormat="false" ht="15" hidden="false" customHeight="false" outlineLevel="0" collapsed="false">
      <c r="A33" s="9" t="n">
        <v>32</v>
      </c>
      <c r="B33" s="8" t="s">
        <v>484</v>
      </c>
      <c r="C33" s="9" t="s">
        <v>492</v>
      </c>
      <c r="D33" s="11" t="s">
        <v>493</v>
      </c>
      <c r="E33" s="11" t="s">
        <v>493</v>
      </c>
      <c r="F33" s="11" t="s">
        <v>377</v>
      </c>
      <c r="G33" s="17"/>
      <c r="H33" s="18"/>
      <c r="I33" s="15"/>
      <c r="J33" s="15"/>
      <c r="K33" s="11" t="s">
        <v>402</v>
      </c>
    </row>
    <row r="34" customFormat="false" ht="15" hidden="false" customHeight="false" outlineLevel="0" collapsed="false">
      <c r="A34" s="9" t="n">
        <v>33</v>
      </c>
      <c r="B34" s="8" t="s">
        <v>484</v>
      </c>
      <c r="C34" s="9" t="s">
        <v>494</v>
      </c>
      <c r="D34" s="11" t="s">
        <v>495</v>
      </c>
      <c r="E34" s="11" t="s">
        <v>496</v>
      </c>
      <c r="F34" s="11" t="s">
        <v>377</v>
      </c>
      <c r="G34" s="17"/>
      <c r="H34" s="18"/>
      <c r="I34" s="15"/>
      <c r="J34" s="15"/>
      <c r="K34" s="11" t="s">
        <v>381</v>
      </c>
    </row>
    <row r="35" customFormat="false" ht="15" hidden="false" customHeight="false" outlineLevel="0" collapsed="false">
      <c r="A35" s="9" t="n">
        <v>34</v>
      </c>
      <c r="B35" s="8" t="s">
        <v>484</v>
      </c>
      <c r="C35" s="9" t="s">
        <v>497</v>
      </c>
      <c r="D35" s="11" t="s">
        <v>76</v>
      </c>
      <c r="E35" s="11" t="s">
        <v>498</v>
      </c>
      <c r="F35" s="11" t="s">
        <v>377</v>
      </c>
      <c r="G35" s="17"/>
      <c r="H35" s="18"/>
      <c r="I35" s="15"/>
      <c r="J35" s="15"/>
      <c r="K35" s="11" t="s">
        <v>499</v>
      </c>
    </row>
    <row r="36" customFormat="false" ht="15" hidden="false" customHeight="false" outlineLevel="0" collapsed="false">
      <c r="A36" s="9" t="n">
        <v>35</v>
      </c>
      <c r="B36" s="8" t="s">
        <v>500</v>
      </c>
      <c r="C36" s="9" t="s">
        <v>29</v>
      </c>
      <c r="D36" s="11" t="s">
        <v>501</v>
      </c>
      <c r="E36" s="11" t="s">
        <v>501</v>
      </c>
      <c r="F36" s="11" t="s">
        <v>377</v>
      </c>
      <c r="G36" s="17" t="s">
        <v>32</v>
      </c>
      <c r="H36" s="16" t="s">
        <v>502</v>
      </c>
      <c r="I36" s="15" t="s">
        <v>455</v>
      </c>
      <c r="J36" s="15" t="s">
        <v>466</v>
      </c>
      <c r="K36" s="8" t="s">
        <v>503</v>
      </c>
    </row>
    <row r="37" customFormat="false" ht="15" hidden="false" customHeight="false" outlineLevel="0" collapsed="false">
      <c r="A37" s="9" t="n">
        <v>36</v>
      </c>
      <c r="B37" s="8" t="s">
        <v>500</v>
      </c>
      <c r="C37" s="9" t="s">
        <v>504</v>
      </c>
      <c r="D37" s="11" t="s">
        <v>505</v>
      </c>
      <c r="E37" s="11" t="s">
        <v>506</v>
      </c>
      <c r="F37" s="11" t="s">
        <v>377</v>
      </c>
      <c r="G37" s="17"/>
      <c r="H37" s="18"/>
      <c r="I37" s="15"/>
      <c r="J37" s="15"/>
      <c r="K37" s="8" t="s">
        <v>507</v>
      </c>
    </row>
    <row r="38" customFormat="false" ht="15" hidden="false" customHeight="false" outlineLevel="0" collapsed="false">
      <c r="A38" s="9" t="n">
        <v>37</v>
      </c>
      <c r="B38" s="8" t="s">
        <v>500</v>
      </c>
      <c r="C38" s="9" t="s">
        <v>508</v>
      </c>
      <c r="D38" s="11" t="s">
        <v>509</v>
      </c>
      <c r="E38" s="11" t="s">
        <v>510</v>
      </c>
      <c r="F38" s="11" t="s">
        <v>377</v>
      </c>
      <c r="G38" s="17" t="s">
        <v>32</v>
      </c>
      <c r="H38" s="16" t="s">
        <v>511</v>
      </c>
      <c r="I38" s="15" t="s">
        <v>455</v>
      </c>
      <c r="J38" s="15" t="s">
        <v>456</v>
      </c>
      <c r="K38" s="8" t="s">
        <v>512</v>
      </c>
    </row>
    <row r="39" customFormat="false" ht="15" hidden="false" customHeight="false" outlineLevel="0" collapsed="false">
      <c r="A39" s="9" t="n">
        <v>38</v>
      </c>
      <c r="B39" s="8" t="s">
        <v>500</v>
      </c>
      <c r="C39" s="9" t="s">
        <v>513</v>
      </c>
      <c r="D39" s="11" t="s">
        <v>514</v>
      </c>
      <c r="E39" s="11" t="s">
        <v>515</v>
      </c>
      <c r="F39" s="11" t="s">
        <v>377</v>
      </c>
      <c r="G39" s="17"/>
      <c r="H39" s="18"/>
      <c r="I39" s="15"/>
      <c r="J39" s="15"/>
      <c r="K39" s="11" t="s">
        <v>516</v>
      </c>
    </row>
  </sheetData>
  <autoFilter ref="A1:K39"/>
  <dataValidations count="1">
    <dataValidation allowBlank="true" error="请选择：通过 / 失败 / 阻塞 / 不适用（留空 = 未测）" errorStyle="stop" errorTitle="测试结果" operator="between" showDropDown="false" showErrorMessage="false" showInputMessage="false" sqref="G2:G39" type="list">
      <formula1>"通过,失败,阻塞,不适用"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7" t="s">
        <v>62</v>
      </c>
      <c r="B1" s="7" t="s">
        <v>20</v>
      </c>
      <c r="C1" s="7" t="s">
        <v>21</v>
      </c>
      <c r="D1" s="7" t="s">
        <v>22</v>
      </c>
      <c r="E1" s="7" t="s">
        <v>63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64</v>
      </c>
    </row>
    <row r="2" customFormat="false" ht="15" hidden="false" customHeight="false" outlineLevel="0" collapsed="false">
      <c r="A2" s="9" t="n">
        <v>1</v>
      </c>
      <c r="B2" s="8" t="s">
        <v>517</v>
      </c>
      <c r="C2" s="9" t="s">
        <v>518</v>
      </c>
      <c r="D2" s="8" t="s">
        <v>519</v>
      </c>
      <c r="E2" s="11" t="s">
        <v>520</v>
      </c>
      <c r="F2" s="11" t="s">
        <v>521</v>
      </c>
      <c r="G2" s="17"/>
      <c r="H2" s="18"/>
      <c r="I2" s="15"/>
      <c r="J2" s="15"/>
      <c r="K2" s="11" t="s">
        <v>522</v>
      </c>
    </row>
    <row r="3" customFormat="false" ht="15" hidden="false" customHeight="false" outlineLevel="0" collapsed="false">
      <c r="A3" s="9" t="n">
        <v>2</v>
      </c>
      <c r="B3" s="8" t="s">
        <v>517</v>
      </c>
      <c r="C3" s="9" t="s">
        <v>523</v>
      </c>
      <c r="D3" s="11" t="s">
        <v>524</v>
      </c>
      <c r="E3" s="11" t="s">
        <v>525</v>
      </c>
      <c r="F3" s="11" t="s">
        <v>521</v>
      </c>
      <c r="G3" s="17"/>
      <c r="H3" s="18"/>
      <c r="I3" s="15"/>
      <c r="J3" s="15"/>
      <c r="K3" s="11" t="s">
        <v>402</v>
      </c>
    </row>
    <row r="4" customFormat="false" ht="15" hidden="false" customHeight="false" outlineLevel="0" collapsed="false">
      <c r="A4" s="9" t="n">
        <v>3</v>
      </c>
      <c r="B4" s="8" t="s">
        <v>517</v>
      </c>
      <c r="C4" s="9" t="s">
        <v>526</v>
      </c>
      <c r="D4" s="11" t="s">
        <v>527</v>
      </c>
      <c r="E4" s="11" t="s">
        <v>528</v>
      </c>
      <c r="F4" s="11" t="s">
        <v>521</v>
      </c>
      <c r="G4" s="17"/>
      <c r="H4" s="18"/>
      <c r="I4" s="15"/>
      <c r="J4" s="15"/>
      <c r="K4" s="8" t="s">
        <v>529</v>
      </c>
    </row>
    <row r="5" customFormat="false" ht="15" hidden="false" customHeight="false" outlineLevel="0" collapsed="false">
      <c r="A5" s="9" t="n">
        <v>4</v>
      </c>
      <c r="B5" s="8" t="s">
        <v>517</v>
      </c>
      <c r="C5" s="9" t="s">
        <v>530</v>
      </c>
      <c r="D5" s="11" t="s">
        <v>531</v>
      </c>
      <c r="E5" s="11" t="s">
        <v>532</v>
      </c>
      <c r="F5" s="11" t="s">
        <v>521</v>
      </c>
      <c r="G5" s="17"/>
      <c r="H5" s="18"/>
      <c r="I5" s="15"/>
      <c r="J5" s="15"/>
      <c r="K5" s="11" t="s">
        <v>533</v>
      </c>
    </row>
    <row r="6" customFormat="false" ht="15" hidden="false" customHeight="false" outlineLevel="0" collapsed="false">
      <c r="A6" s="9" t="n">
        <v>5</v>
      </c>
      <c r="B6" s="8" t="s">
        <v>517</v>
      </c>
      <c r="C6" s="9" t="s">
        <v>534</v>
      </c>
      <c r="D6" s="11" t="s">
        <v>535</v>
      </c>
      <c r="E6" s="11" t="s">
        <v>536</v>
      </c>
      <c r="F6" s="11" t="s">
        <v>521</v>
      </c>
      <c r="G6" s="17"/>
      <c r="H6" s="18"/>
      <c r="I6" s="15"/>
      <c r="J6" s="15"/>
      <c r="K6" s="11" t="s">
        <v>402</v>
      </c>
    </row>
    <row r="7" customFormat="false" ht="15" hidden="false" customHeight="false" outlineLevel="0" collapsed="false">
      <c r="A7" s="9" t="n">
        <v>6</v>
      </c>
      <c r="B7" s="8" t="s">
        <v>517</v>
      </c>
      <c r="C7" s="9" t="s">
        <v>537</v>
      </c>
      <c r="D7" s="11" t="s">
        <v>538</v>
      </c>
      <c r="E7" s="11" t="s">
        <v>539</v>
      </c>
      <c r="F7" s="11" t="s">
        <v>521</v>
      </c>
      <c r="G7" s="17"/>
      <c r="H7" s="18"/>
      <c r="I7" s="15"/>
      <c r="J7" s="15"/>
      <c r="K7" s="11" t="s">
        <v>540</v>
      </c>
    </row>
    <row r="8" customFormat="false" ht="15" hidden="false" customHeight="false" outlineLevel="0" collapsed="false">
      <c r="A8" s="9" t="n">
        <v>7</v>
      </c>
      <c r="B8" s="8" t="s">
        <v>517</v>
      </c>
      <c r="C8" s="9" t="s">
        <v>541</v>
      </c>
      <c r="D8" s="11" t="s">
        <v>542</v>
      </c>
      <c r="E8" s="11" t="s">
        <v>543</v>
      </c>
      <c r="F8" s="11" t="s">
        <v>521</v>
      </c>
      <c r="G8" s="17"/>
      <c r="H8" s="18"/>
      <c r="I8" s="15"/>
      <c r="J8" s="15"/>
      <c r="K8" s="11" t="s">
        <v>544</v>
      </c>
    </row>
    <row r="9" customFormat="false" ht="15" hidden="false" customHeight="false" outlineLevel="0" collapsed="false">
      <c r="A9" s="9" t="n">
        <v>8</v>
      </c>
      <c r="B9" s="8" t="s">
        <v>517</v>
      </c>
      <c r="C9" s="9" t="s">
        <v>545</v>
      </c>
      <c r="D9" s="11" t="s">
        <v>546</v>
      </c>
      <c r="E9" s="11" t="s">
        <v>547</v>
      </c>
      <c r="F9" s="11" t="s">
        <v>521</v>
      </c>
      <c r="G9" s="17"/>
      <c r="H9" s="18"/>
      <c r="I9" s="15"/>
      <c r="J9" s="15"/>
      <c r="K9" s="11" t="s">
        <v>381</v>
      </c>
    </row>
    <row r="10" customFormat="false" ht="15" hidden="false" customHeight="false" outlineLevel="0" collapsed="false">
      <c r="A10" s="9" t="n">
        <v>9</v>
      </c>
      <c r="B10" s="8" t="s">
        <v>548</v>
      </c>
      <c r="C10" s="9" t="s">
        <v>549</v>
      </c>
      <c r="D10" s="11" t="s">
        <v>550</v>
      </c>
      <c r="E10" s="11" t="s">
        <v>551</v>
      </c>
      <c r="F10" s="11" t="s">
        <v>521</v>
      </c>
      <c r="G10" s="17"/>
      <c r="H10" s="18"/>
      <c r="I10" s="15"/>
      <c r="J10" s="15"/>
      <c r="K10" s="11" t="s">
        <v>552</v>
      </c>
    </row>
    <row r="11" customFormat="false" ht="15" hidden="false" customHeight="false" outlineLevel="0" collapsed="false">
      <c r="A11" s="9" t="n">
        <v>10</v>
      </c>
      <c r="B11" s="8" t="s">
        <v>548</v>
      </c>
      <c r="C11" s="9" t="s">
        <v>553</v>
      </c>
      <c r="D11" s="11" t="s">
        <v>554</v>
      </c>
      <c r="E11" s="11" t="s">
        <v>555</v>
      </c>
      <c r="F11" s="11" t="s">
        <v>521</v>
      </c>
      <c r="G11" s="17"/>
      <c r="H11" s="18"/>
      <c r="I11" s="15"/>
      <c r="J11" s="15"/>
      <c r="K11" s="11" t="s">
        <v>552</v>
      </c>
    </row>
    <row r="12" customFormat="false" ht="15" hidden="false" customHeight="false" outlineLevel="0" collapsed="false">
      <c r="A12" s="9" t="n">
        <v>11</v>
      </c>
      <c r="B12" s="8" t="s">
        <v>548</v>
      </c>
      <c r="C12" s="9" t="s">
        <v>556</v>
      </c>
      <c r="D12" s="11" t="s">
        <v>557</v>
      </c>
      <c r="E12" s="11" t="s">
        <v>558</v>
      </c>
      <c r="F12" s="11" t="s">
        <v>521</v>
      </c>
      <c r="G12" s="17"/>
      <c r="H12" s="18"/>
      <c r="I12" s="15"/>
      <c r="J12" s="15"/>
      <c r="K12" s="11" t="s">
        <v>552</v>
      </c>
    </row>
    <row r="13" customFormat="false" ht="15" hidden="false" customHeight="false" outlineLevel="0" collapsed="false">
      <c r="A13" s="9" t="n">
        <v>12</v>
      </c>
      <c r="B13" s="8" t="s">
        <v>548</v>
      </c>
      <c r="C13" s="9" t="s">
        <v>559</v>
      </c>
      <c r="D13" s="11" t="s">
        <v>560</v>
      </c>
      <c r="E13" s="11" t="s">
        <v>560</v>
      </c>
      <c r="F13" s="11" t="s">
        <v>521</v>
      </c>
      <c r="G13" s="17"/>
      <c r="H13" s="18"/>
      <c r="I13" s="15"/>
      <c r="J13" s="15"/>
      <c r="K13" s="11" t="s">
        <v>552</v>
      </c>
    </row>
    <row r="14" customFormat="false" ht="15" hidden="false" customHeight="false" outlineLevel="0" collapsed="false">
      <c r="A14" s="9" t="n">
        <v>13</v>
      </c>
      <c r="B14" s="8" t="s">
        <v>548</v>
      </c>
      <c r="C14" s="9" t="s">
        <v>561</v>
      </c>
      <c r="D14" s="11" t="s">
        <v>562</v>
      </c>
      <c r="E14" s="11" t="s">
        <v>563</v>
      </c>
      <c r="F14" s="11" t="s">
        <v>521</v>
      </c>
      <c r="G14" s="17"/>
      <c r="H14" s="18"/>
      <c r="I14" s="15"/>
      <c r="J14" s="15"/>
      <c r="K14" s="11" t="s">
        <v>552</v>
      </c>
    </row>
    <row r="15" customFormat="false" ht="15" hidden="false" customHeight="false" outlineLevel="0" collapsed="false">
      <c r="A15" s="9" t="n">
        <v>14</v>
      </c>
      <c r="B15" s="8" t="s">
        <v>548</v>
      </c>
      <c r="C15" s="9" t="s">
        <v>564</v>
      </c>
      <c r="D15" s="11" t="s">
        <v>565</v>
      </c>
      <c r="E15" s="11" t="s">
        <v>566</v>
      </c>
      <c r="F15" s="11" t="s">
        <v>521</v>
      </c>
      <c r="G15" s="17"/>
      <c r="H15" s="18"/>
      <c r="I15" s="15"/>
      <c r="J15" s="15"/>
      <c r="K15" s="11" t="s">
        <v>552</v>
      </c>
    </row>
    <row r="16" customFormat="false" ht="15" hidden="false" customHeight="false" outlineLevel="0" collapsed="false">
      <c r="A16" s="9" t="n">
        <v>15</v>
      </c>
      <c r="B16" s="8" t="s">
        <v>548</v>
      </c>
      <c r="C16" s="9" t="s">
        <v>567</v>
      </c>
      <c r="D16" s="11" t="s">
        <v>568</v>
      </c>
      <c r="E16" s="11" t="s">
        <v>568</v>
      </c>
      <c r="F16" s="11" t="s">
        <v>521</v>
      </c>
      <c r="G16" s="17"/>
      <c r="H16" s="18"/>
      <c r="I16" s="15"/>
      <c r="J16" s="15"/>
      <c r="K16" s="11" t="s">
        <v>552</v>
      </c>
    </row>
    <row r="17" customFormat="false" ht="15" hidden="false" customHeight="false" outlineLevel="0" collapsed="false">
      <c r="A17" s="9" t="n">
        <v>16</v>
      </c>
      <c r="B17" s="8" t="s">
        <v>548</v>
      </c>
      <c r="C17" s="9" t="s">
        <v>569</v>
      </c>
      <c r="D17" s="8" t="s">
        <v>570</v>
      </c>
      <c r="E17" s="8" t="s">
        <v>571</v>
      </c>
      <c r="F17" s="11" t="s">
        <v>521</v>
      </c>
      <c r="G17" s="17"/>
      <c r="H17" s="18"/>
      <c r="I17" s="15"/>
      <c r="J17" s="15"/>
      <c r="K17" s="11" t="s">
        <v>552</v>
      </c>
    </row>
    <row r="18" customFormat="false" ht="15" hidden="false" customHeight="false" outlineLevel="0" collapsed="false">
      <c r="A18" s="9" t="n">
        <v>17</v>
      </c>
      <c r="B18" s="8" t="s">
        <v>548</v>
      </c>
      <c r="C18" s="9" t="s">
        <v>572</v>
      </c>
      <c r="D18" s="8" t="s">
        <v>573</v>
      </c>
      <c r="E18" s="8" t="s">
        <v>574</v>
      </c>
      <c r="F18" s="11" t="s">
        <v>521</v>
      </c>
      <c r="G18" s="17"/>
      <c r="H18" s="18"/>
      <c r="I18" s="15"/>
      <c r="J18" s="15"/>
      <c r="K18" s="11" t="s">
        <v>552</v>
      </c>
    </row>
    <row r="19" customFormat="false" ht="15" hidden="false" customHeight="false" outlineLevel="0" collapsed="false">
      <c r="A19" s="9" t="n">
        <v>18</v>
      </c>
      <c r="B19" s="8" t="s">
        <v>548</v>
      </c>
      <c r="C19" s="9" t="s">
        <v>575</v>
      </c>
      <c r="D19" s="8" t="s">
        <v>576</v>
      </c>
      <c r="E19" s="11" t="s">
        <v>577</v>
      </c>
      <c r="F19" s="11" t="s">
        <v>521</v>
      </c>
      <c r="G19" s="17"/>
      <c r="H19" s="18"/>
      <c r="I19" s="15"/>
      <c r="J19" s="15"/>
      <c r="K19" s="11" t="s">
        <v>552</v>
      </c>
    </row>
    <row r="20" customFormat="false" ht="15" hidden="false" customHeight="false" outlineLevel="0" collapsed="false">
      <c r="A20" s="9" t="n">
        <v>19</v>
      </c>
      <c r="B20" s="8" t="s">
        <v>548</v>
      </c>
      <c r="C20" s="9" t="s">
        <v>578</v>
      </c>
      <c r="D20" s="11" t="s">
        <v>579</v>
      </c>
      <c r="E20" s="11" t="s">
        <v>580</v>
      </c>
      <c r="F20" s="11" t="s">
        <v>521</v>
      </c>
      <c r="G20" s="17"/>
      <c r="H20" s="18"/>
      <c r="I20" s="15"/>
      <c r="J20" s="15"/>
      <c r="K20" s="11" t="s">
        <v>581</v>
      </c>
    </row>
    <row r="21" customFormat="false" ht="15" hidden="false" customHeight="false" outlineLevel="0" collapsed="false">
      <c r="A21" s="9" t="n">
        <v>20</v>
      </c>
      <c r="B21" s="8" t="s">
        <v>548</v>
      </c>
      <c r="C21" s="9" t="s">
        <v>582</v>
      </c>
      <c r="D21" s="11" t="s">
        <v>583</v>
      </c>
      <c r="E21" s="11" t="s">
        <v>584</v>
      </c>
      <c r="F21" s="11" t="s">
        <v>521</v>
      </c>
      <c r="G21" s="17"/>
      <c r="H21" s="18"/>
      <c r="I21" s="15"/>
      <c r="J21" s="15"/>
      <c r="K21" s="11" t="s">
        <v>552</v>
      </c>
    </row>
    <row r="22" customFormat="false" ht="15" hidden="false" customHeight="false" outlineLevel="0" collapsed="false">
      <c r="A22" s="9" t="n">
        <v>21</v>
      </c>
      <c r="B22" s="8" t="s">
        <v>548</v>
      </c>
      <c r="C22" s="9" t="s">
        <v>585</v>
      </c>
      <c r="D22" s="11" t="s">
        <v>586</v>
      </c>
      <c r="E22" s="11" t="s">
        <v>586</v>
      </c>
      <c r="F22" s="11" t="s">
        <v>521</v>
      </c>
      <c r="G22" s="17"/>
      <c r="H22" s="18"/>
      <c r="I22" s="15"/>
      <c r="J22" s="15"/>
      <c r="K22" s="8" t="s">
        <v>587</v>
      </c>
    </row>
    <row r="23" customFormat="false" ht="15" hidden="false" customHeight="false" outlineLevel="0" collapsed="false">
      <c r="A23" s="9" t="n">
        <v>22</v>
      </c>
      <c r="B23" s="8" t="s">
        <v>548</v>
      </c>
      <c r="C23" s="9" t="s">
        <v>588</v>
      </c>
      <c r="D23" s="11" t="s">
        <v>589</v>
      </c>
      <c r="E23" s="11" t="s">
        <v>589</v>
      </c>
      <c r="F23" s="11" t="s">
        <v>521</v>
      </c>
      <c r="G23" s="17"/>
      <c r="H23" s="18"/>
      <c r="I23" s="15"/>
      <c r="J23" s="15"/>
      <c r="K23" s="11" t="s">
        <v>590</v>
      </c>
    </row>
    <row r="24" customFormat="false" ht="15" hidden="false" customHeight="false" outlineLevel="0" collapsed="false">
      <c r="A24" s="9" t="n">
        <v>23</v>
      </c>
      <c r="B24" s="8" t="s">
        <v>548</v>
      </c>
      <c r="C24" s="9" t="s">
        <v>591</v>
      </c>
      <c r="D24" s="8" t="s">
        <v>592</v>
      </c>
      <c r="E24" s="11" t="s">
        <v>593</v>
      </c>
      <c r="F24" s="11" t="s">
        <v>521</v>
      </c>
      <c r="G24" s="17"/>
      <c r="H24" s="18"/>
      <c r="I24" s="15"/>
      <c r="J24" s="15"/>
      <c r="K24" s="11" t="s">
        <v>594</v>
      </c>
    </row>
    <row r="25" customFormat="false" ht="15" hidden="false" customHeight="false" outlineLevel="0" collapsed="false">
      <c r="A25" s="9" t="n">
        <v>24</v>
      </c>
      <c r="B25" s="8" t="s">
        <v>548</v>
      </c>
      <c r="C25" s="9" t="s">
        <v>595</v>
      </c>
      <c r="D25" s="11" t="s">
        <v>596</v>
      </c>
      <c r="E25" s="11" t="s">
        <v>597</v>
      </c>
      <c r="F25" s="11" t="s">
        <v>521</v>
      </c>
      <c r="G25" s="17"/>
      <c r="H25" s="18"/>
      <c r="I25" s="15"/>
      <c r="J25" s="15"/>
      <c r="K25" s="11" t="s">
        <v>598</v>
      </c>
    </row>
    <row r="26" customFormat="false" ht="15" hidden="false" customHeight="false" outlineLevel="0" collapsed="false">
      <c r="A26" s="9" t="n">
        <v>25</v>
      </c>
      <c r="B26" s="8" t="s">
        <v>548</v>
      </c>
      <c r="C26" s="9" t="s">
        <v>599</v>
      </c>
      <c r="D26" s="11" t="s">
        <v>600</v>
      </c>
      <c r="E26" s="11" t="s">
        <v>601</v>
      </c>
      <c r="F26" s="11" t="s">
        <v>521</v>
      </c>
      <c r="G26" s="17"/>
      <c r="H26" s="18"/>
      <c r="I26" s="15"/>
      <c r="J26" s="15"/>
      <c r="K26" s="11" t="s">
        <v>602</v>
      </c>
    </row>
    <row r="27" customFormat="false" ht="15" hidden="false" customHeight="false" outlineLevel="0" collapsed="false">
      <c r="A27" s="9" t="n">
        <v>26</v>
      </c>
      <c r="B27" s="8" t="s">
        <v>603</v>
      </c>
      <c r="C27" s="9" t="s">
        <v>604</v>
      </c>
      <c r="D27" s="11" t="s">
        <v>605</v>
      </c>
      <c r="E27" s="11" t="s">
        <v>606</v>
      </c>
      <c r="F27" s="11" t="s">
        <v>521</v>
      </c>
      <c r="G27" s="17" t="s">
        <v>32</v>
      </c>
      <c r="H27" s="18" t="s">
        <v>607</v>
      </c>
      <c r="I27" s="15" t="s">
        <v>455</v>
      </c>
      <c r="J27" s="15" t="s">
        <v>456</v>
      </c>
      <c r="K27" s="11" t="s">
        <v>608</v>
      </c>
    </row>
    <row r="28" customFormat="false" ht="15" hidden="false" customHeight="false" outlineLevel="0" collapsed="false">
      <c r="A28" s="9" t="n">
        <v>27</v>
      </c>
      <c r="B28" s="8" t="s">
        <v>603</v>
      </c>
      <c r="C28" s="9" t="s">
        <v>609</v>
      </c>
      <c r="D28" s="11" t="s">
        <v>610</v>
      </c>
      <c r="E28" s="11" t="s">
        <v>611</v>
      </c>
      <c r="F28" s="11" t="s">
        <v>521</v>
      </c>
      <c r="G28" s="17"/>
      <c r="H28" s="18"/>
      <c r="I28" s="15"/>
      <c r="J28" s="15"/>
      <c r="K28" s="8" t="s">
        <v>612</v>
      </c>
    </row>
    <row r="29" customFormat="false" ht="15" hidden="false" customHeight="false" outlineLevel="0" collapsed="false">
      <c r="A29" s="9" t="n">
        <v>28</v>
      </c>
      <c r="B29" s="8" t="s">
        <v>603</v>
      </c>
      <c r="C29" s="9" t="s">
        <v>613</v>
      </c>
      <c r="D29" s="11" t="s">
        <v>614</v>
      </c>
      <c r="E29" s="11" t="s">
        <v>615</v>
      </c>
      <c r="F29" s="11" t="s">
        <v>521</v>
      </c>
      <c r="G29" s="17"/>
      <c r="H29" s="18"/>
      <c r="I29" s="15"/>
      <c r="J29" s="15"/>
      <c r="K29" s="11" t="s">
        <v>616</v>
      </c>
    </row>
    <row r="30" customFormat="false" ht="15" hidden="false" customHeight="false" outlineLevel="0" collapsed="false">
      <c r="A30" s="9" t="n">
        <v>29</v>
      </c>
      <c r="B30" s="8" t="s">
        <v>603</v>
      </c>
      <c r="C30" s="9" t="s">
        <v>617</v>
      </c>
      <c r="D30" s="11" t="s">
        <v>618</v>
      </c>
      <c r="E30" s="11" t="s">
        <v>619</v>
      </c>
      <c r="F30" s="11" t="s">
        <v>521</v>
      </c>
      <c r="G30" s="17"/>
      <c r="H30" s="18"/>
      <c r="I30" s="15"/>
      <c r="J30" s="15"/>
      <c r="K30" s="8" t="s">
        <v>620</v>
      </c>
    </row>
    <row r="31" customFormat="false" ht="15" hidden="false" customHeight="false" outlineLevel="0" collapsed="false">
      <c r="A31" s="9" t="n">
        <v>30</v>
      </c>
      <c r="B31" s="8" t="s">
        <v>603</v>
      </c>
      <c r="C31" s="9" t="s">
        <v>621</v>
      </c>
      <c r="D31" s="11" t="s">
        <v>622</v>
      </c>
      <c r="E31" s="11" t="s">
        <v>623</v>
      </c>
      <c r="F31" s="11" t="s">
        <v>521</v>
      </c>
      <c r="G31" s="17"/>
      <c r="H31" s="18"/>
      <c r="I31" s="15"/>
      <c r="J31" s="15"/>
      <c r="K31" s="11" t="s">
        <v>381</v>
      </c>
    </row>
    <row r="32" customFormat="false" ht="15" hidden="false" customHeight="false" outlineLevel="0" collapsed="false">
      <c r="A32" s="9" t="n">
        <v>31</v>
      </c>
      <c r="B32" s="8" t="s">
        <v>603</v>
      </c>
      <c r="C32" s="9" t="s">
        <v>624</v>
      </c>
      <c r="D32" s="11" t="s">
        <v>625</v>
      </c>
      <c r="E32" s="11" t="s">
        <v>626</v>
      </c>
      <c r="F32" s="11" t="s">
        <v>521</v>
      </c>
      <c r="G32" s="17"/>
      <c r="H32" s="18"/>
      <c r="I32" s="15"/>
      <c r="J32" s="15"/>
      <c r="K32" s="11" t="s">
        <v>381</v>
      </c>
    </row>
    <row r="33" customFormat="false" ht="15" hidden="false" customHeight="false" outlineLevel="0" collapsed="false">
      <c r="A33" s="9" t="n">
        <v>32</v>
      </c>
      <c r="B33" s="8" t="s">
        <v>603</v>
      </c>
      <c r="C33" s="9" t="s">
        <v>627</v>
      </c>
      <c r="D33" s="11" t="s">
        <v>628</v>
      </c>
      <c r="E33" s="11" t="s">
        <v>629</v>
      </c>
      <c r="F33" s="11" t="s">
        <v>521</v>
      </c>
      <c r="G33" s="17"/>
      <c r="H33" s="18"/>
      <c r="I33" s="15"/>
      <c r="J33" s="15"/>
      <c r="K33" s="8" t="s">
        <v>630</v>
      </c>
    </row>
    <row r="34" customFormat="false" ht="15" hidden="false" customHeight="false" outlineLevel="0" collapsed="false">
      <c r="A34" s="9" t="n">
        <v>33</v>
      </c>
      <c r="B34" s="8" t="s">
        <v>603</v>
      </c>
      <c r="C34" s="9" t="s">
        <v>631</v>
      </c>
      <c r="D34" s="11" t="s">
        <v>632</v>
      </c>
      <c r="E34" s="11" t="s">
        <v>633</v>
      </c>
      <c r="F34" s="11" t="s">
        <v>521</v>
      </c>
      <c r="G34" s="17"/>
      <c r="H34" s="18"/>
      <c r="I34" s="15"/>
      <c r="J34" s="15"/>
      <c r="K34" s="11" t="s">
        <v>381</v>
      </c>
    </row>
    <row r="35" customFormat="false" ht="15" hidden="false" customHeight="false" outlineLevel="0" collapsed="false">
      <c r="A35" s="9" t="n">
        <v>34</v>
      </c>
      <c r="B35" s="8" t="s">
        <v>603</v>
      </c>
      <c r="C35" s="9" t="s">
        <v>634</v>
      </c>
      <c r="D35" s="11" t="s">
        <v>635</v>
      </c>
      <c r="E35" s="11" t="s">
        <v>636</v>
      </c>
      <c r="F35" s="11" t="s">
        <v>521</v>
      </c>
      <c r="G35" s="17"/>
      <c r="H35" s="18"/>
      <c r="I35" s="15"/>
      <c r="J35" s="15"/>
      <c r="K35" s="11" t="s">
        <v>637</v>
      </c>
    </row>
    <row r="36" customFormat="false" ht="15" hidden="false" customHeight="false" outlineLevel="0" collapsed="false">
      <c r="A36" s="9" t="n">
        <v>35</v>
      </c>
      <c r="B36" s="8" t="s">
        <v>603</v>
      </c>
      <c r="C36" s="9" t="s">
        <v>638</v>
      </c>
      <c r="D36" s="11" t="s">
        <v>639</v>
      </c>
      <c r="E36" s="11" t="s">
        <v>640</v>
      </c>
      <c r="F36" s="11" t="s">
        <v>521</v>
      </c>
      <c r="G36" s="17"/>
      <c r="H36" s="18"/>
      <c r="I36" s="15"/>
      <c r="J36" s="15"/>
      <c r="K36" s="11" t="s">
        <v>641</v>
      </c>
    </row>
    <row r="37" customFormat="false" ht="15" hidden="false" customHeight="false" outlineLevel="0" collapsed="false">
      <c r="A37" s="9" t="n">
        <v>36</v>
      </c>
      <c r="B37" s="8" t="s">
        <v>642</v>
      </c>
      <c r="C37" s="9" t="s">
        <v>643</v>
      </c>
      <c r="D37" s="11" t="s">
        <v>644</v>
      </c>
      <c r="E37" s="11" t="s">
        <v>645</v>
      </c>
      <c r="F37" s="11" t="s">
        <v>521</v>
      </c>
      <c r="G37" s="17"/>
      <c r="H37" s="18"/>
      <c r="I37" s="15"/>
      <c r="J37" s="15"/>
      <c r="K37" s="8" t="s">
        <v>646</v>
      </c>
    </row>
    <row r="38" customFormat="false" ht="15" hidden="false" customHeight="false" outlineLevel="0" collapsed="false">
      <c r="A38" s="9" t="n">
        <v>37</v>
      </c>
      <c r="B38" s="8" t="s">
        <v>642</v>
      </c>
      <c r="C38" s="9" t="s">
        <v>647</v>
      </c>
      <c r="D38" s="8" t="s">
        <v>648</v>
      </c>
      <c r="E38" s="8" t="s">
        <v>649</v>
      </c>
      <c r="F38" s="11" t="s">
        <v>521</v>
      </c>
      <c r="G38" s="17"/>
      <c r="H38" s="18"/>
      <c r="I38" s="15"/>
      <c r="J38" s="15"/>
      <c r="K38" s="11" t="s">
        <v>650</v>
      </c>
    </row>
    <row r="39" customFormat="false" ht="15" hidden="false" customHeight="false" outlineLevel="0" collapsed="false">
      <c r="A39" s="9" t="n">
        <v>38</v>
      </c>
      <c r="B39" s="8" t="s">
        <v>642</v>
      </c>
      <c r="C39" s="9" t="s">
        <v>651</v>
      </c>
      <c r="D39" s="11" t="s">
        <v>652</v>
      </c>
      <c r="E39" s="11" t="s">
        <v>653</v>
      </c>
      <c r="F39" s="11" t="s">
        <v>521</v>
      </c>
      <c r="G39" s="17"/>
      <c r="H39" s="18"/>
      <c r="I39" s="15"/>
      <c r="J39" s="15"/>
      <c r="K39" s="11" t="s">
        <v>654</v>
      </c>
    </row>
  </sheetData>
  <autoFilter ref="A1:K39"/>
  <dataValidations count="1">
    <dataValidation allowBlank="true" error="请选择：通过 / 失败 / 阻塞 / 不适用（留空 = 未测）" errorStyle="stop" errorTitle="测试结果" operator="between" showDropDown="false" showErrorMessage="false" showInputMessage="false" sqref="G2:G39" type="list">
      <formula1>"通过,失败,阻塞,不适用"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7" t="s">
        <v>62</v>
      </c>
      <c r="B1" s="7" t="s">
        <v>20</v>
      </c>
      <c r="C1" s="7" t="s">
        <v>21</v>
      </c>
      <c r="D1" s="7" t="s">
        <v>22</v>
      </c>
      <c r="E1" s="7" t="s">
        <v>63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64</v>
      </c>
    </row>
    <row r="2" customFormat="false" ht="15" hidden="false" customHeight="false" outlineLevel="0" collapsed="false">
      <c r="A2" s="9" t="n">
        <v>1</v>
      </c>
      <c r="B2" s="8" t="s">
        <v>655</v>
      </c>
      <c r="C2" s="9" t="s">
        <v>656</v>
      </c>
      <c r="D2" s="11" t="s">
        <v>657</v>
      </c>
      <c r="E2" s="11" t="s">
        <v>657</v>
      </c>
      <c r="F2" s="11" t="s">
        <v>658</v>
      </c>
      <c r="G2" s="17"/>
      <c r="H2" s="18"/>
      <c r="I2" s="15"/>
      <c r="J2" s="15"/>
      <c r="K2" s="11" t="s">
        <v>659</v>
      </c>
    </row>
    <row r="3" customFormat="false" ht="15" hidden="false" customHeight="false" outlineLevel="0" collapsed="false">
      <c r="A3" s="9" t="n">
        <v>2</v>
      </c>
      <c r="B3" s="8" t="s">
        <v>655</v>
      </c>
      <c r="C3" s="9" t="s">
        <v>660</v>
      </c>
      <c r="D3" s="11" t="s">
        <v>661</v>
      </c>
      <c r="E3" s="11" t="s">
        <v>662</v>
      </c>
      <c r="F3" s="11" t="s">
        <v>658</v>
      </c>
      <c r="G3" s="17"/>
      <c r="H3" s="18"/>
      <c r="I3" s="15"/>
      <c r="J3" s="15"/>
      <c r="K3" s="11" t="s">
        <v>659</v>
      </c>
    </row>
    <row r="4" customFormat="false" ht="15" hidden="false" customHeight="false" outlineLevel="0" collapsed="false">
      <c r="A4" s="9" t="n">
        <v>3</v>
      </c>
      <c r="B4" s="8" t="s">
        <v>655</v>
      </c>
      <c r="C4" s="9" t="s">
        <v>663</v>
      </c>
      <c r="D4" s="11" t="s">
        <v>664</v>
      </c>
      <c r="E4" s="11" t="s">
        <v>664</v>
      </c>
      <c r="F4" s="11" t="s">
        <v>658</v>
      </c>
      <c r="G4" s="17"/>
      <c r="H4" s="18"/>
      <c r="I4" s="15"/>
      <c r="J4" s="15"/>
      <c r="K4" s="11" t="s">
        <v>659</v>
      </c>
    </row>
    <row r="5" customFormat="false" ht="15" hidden="false" customHeight="false" outlineLevel="0" collapsed="false">
      <c r="A5" s="9" t="n">
        <v>4</v>
      </c>
      <c r="B5" s="8" t="s">
        <v>655</v>
      </c>
      <c r="C5" s="9" t="s">
        <v>665</v>
      </c>
      <c r="D5" s="11" t="s">
        <v>666</v>
      </c>
      <c r="E5" s="11" t="s">
        <v>666</v>
      </c>
      <c r="F5" s="11" t="s">
        <v>658</v>
      </c>
      <c r="G5" s="17"/>
      <c r="H5" s="18"/>
      <c r="I5" s="15"/>
      <c r="J5" s="15"/>
      <c r="K5" s="11" t="s">
        <v>659</v>
      </c>
    </row>
    <row r="6" customFormat="false" ht="15" hidden="false" customHeight="false" outlineLevel="0" collapsed="false">
      <c r="A6" s="9" t="n">
        <v>5</v>
      </c>
      <c r="B6" s="8" t="s">
        <v>655</v>
      </c>
      <c r="C6" s="9" t="s">
        <v>667</v>
      </c>
      <c r="D6" s="11" t="s">
        <v>668</v>
      </c>
      <c r="E6" s="11" t="s">
        <v>669</v>
      </c>
      <c r="F6" s="11" t="s">
        <v>658</v>
      </c>
      <c r="G6" s="17"/>
      <c r="H6" s="18"/>
      <c r="I6" s="15"/>
      <c r="J6" s="15"/>
      <c r="K6" s="11" t="s">
        <v>659</v>
      </c>
    </row>
    <row r="7" customFormat="false" ht="15" hidden="false" customHeight="false" outlineLevel="0" collapsed="false">
      <c r="A7" s="9" t="n">
        <v>6</v>
      </c>
      <c r="B7" s="8" t="s">
        <v>655</v>
      </c>
      <c r="C7" s="9" t="s">
        <v>670</v>
      </c>
      <c r="D7" s="8" t="s">
        <v>671</v>
      </c>
      <c r="E7" s="8" t="s">
        <v>671</v>
      </c>
      <c r="F7" s="11" t="s">
        <v>658</v>
      </c>
      <c r="G7" s="17"/>
      <c r="H7" s="18"/>
      <c r="I7" s="15"/>
      <c r="J7" s="15"/>
      <c r="K7" s="11" t="s">
        <v>659</v>
      </c>
    </row>
    <row r="8" customFormat="false" ht="15" hidden="false" customHeight="false" outlineLevel="0" collapsed="false">
      <c r="A8" s="9" t="n">
        <v>7</v>
      </c>
      <c r="B8" s="8" t="s">
        <v>672</v>
      </c>
      <c r="C8" s="9" t="s">
        <v>673</v>
      </c>
      <c r="D8" s="11" t="s">
        <v>674</v>
      </c>
      <c r="E8" s="11" t="s">
        <v>675</v>
      </c>
      <c r="F8" s="11" t="s">
        <v>658</v>
      </c>
      <c r="G8" s="17"/>
      <c r="H8" s="18"/>
      <c r="I8" s="15"/>
      <c r="J8" s="15"/>
      <c r="K8" s="11" t="s">
        <v>676</v>
      </c>
    </row>
    <row r="9" customFormat="false" ht="15" hidden="false" customHeight="false" outlineLevel="0" collapsed="false">
      <c r="A9" s="9" t="n">
        <v>8</v>
      </c>
      <c r="B9" s="8" t="s">
        <v>672</v>
      </c>
      <c r="C9" s="9" t="s">
        <v>677</v>
      </c>
      <c r="D9" s="8" t="s">
        <v>678</v>
      </c>
      <c r="E9" s="11" t="s">
        <v>679</v>
      </c>
      <c r="F9" s="11" t="s">
        <v>658</v>
      </c>
      <c r="G9" s="17"/>
      <c r="H9" s="18"/>
      <c r="I9" s="15"/>
      <c r="J9" s="15"/>
      <c r="K9" s="11" t="s">
        <v>676</v>
      </c>
    </row>
    <row r="10" customFormat="false" ht="15" hidden="false" customHeight="false" outlineLevel="0" collapsed="false">
      <c r="A10" s="9" t="n">
        <v>9</v>
      </c>
      <c r="B10" s="8" t="s">
        <v>672</v>
      </c>
      <c r="C10" s="9" t="s">
        <v>680</v>
      </c>
      <c r="D10" s="8" t="s">
        <v>681</v>
      </c>
      <c r="E10" s="11" t="s">
        <v>682</v>
      </c>
      <c r="F10" s="11" t="s">
        <v>658</v>
      </c>
      <c r="G10" s="17"/>
      <c r="H10" s="18"/>
      <c r="I10" s="15"/>
      <c r="J10" s="15"/>
      <c r="K10" s="11" t="s">
        <v>676</v>
      </c>
    </row>
    <row r="11" customFormat="false" ht="15" hidden="false" customHeight="false" outlineLevel="0" collapsed="false">
      <c r="A11" s="9" t="n">
        <v>10</v>
      </c>
      <c r="B11" s="8" t="s">
        <v>672</v>
      </c>
      <c r="C11" s="9" t="s">
        <v>683</v>
      </c>
      <c r="D11" s="11" t="s">
        <v>76</v>
      </c>
      <c r="E11" s="11" t="s">
        <v>684</v>
      </c>
      <c r="F11" s="11" t="s">
        <v>658</v>
      </c>
      <c r="G11" s="17"/>
      <c r="H11" s="18"/>
      <c r="I11" s="15"/>
      <c r="J11" s="15"/>
      <c r="K11" s="11" t="s">
        <v>676</v>
      </c>
    </row>
    <row r="12" customFormat="false" ht="15" hidden="false" customHeight="false" outlineLevel="0" collapsed="false">
      <c r="A12" s="9" t="n">
        <v>11</v>
      </c>
      <c r="B12" s="8" t="s">
        <v>672</v>
      </c>
      <c r="C12" s="9" t="s">
        <v>685</v>
      </c>
      <c r="D12" s="11" t="s">
        <v>76</v>
      </c>
      <c r="E12" s="11" t="s">
        <v>686</v>
      </c>
      <c r="F12" s="11" t="s">
        <v>658</v>
      </c>
      <c r="G12" s="17"/>
      <c r="H12" s="18"/>
      <c r="I12" s="15"/>
      <c r="J12" s="15"/>
      <c r="K12" s="11" t="s">
        <v>676</v>
      </c>
    </row>
    <row r="13" customFormat="false" ht="15" hidden="false" customHeight="false" outlineLevel="0" collapsed="false">
      <c r="A13" s="9" t="n">
        <v>12</v>
      </c>
      <c r="B13" s="8" t="s">
        <v>687</v>
      </c>
      <c r="C13" s="9" t="s">
        <v>688</v>
      </c>
      <c r="D13" s="11" t="s">
        <v>689</v>
      </c>
      <c r="E13" s="11" t="s">
        <v>689</v>
      </c>
      <c r="F13" s="11" t="s">
        <v>658</v>
      </c>
      <c r="G13" s="17"/>
      <c r="H13" s="18"/>
      <c r="I13" s="15"/>
      <c r="J13" s="15"/>
      <c r="K13" s="8" t="s">
        <v>690</v>
      </c>
    </row>
    <row r="14" customFormat="false" ht="15" hidden="false" customHeight="false" outlineLevel="0" collapsed="false">
      <c r="A14" s="9" t="n">
        <v>13</v>
      </c>
      <c r="B14" s="8" t="s">
        <v>687</v>
      </c>
      <c r="C14" s="9" t="s">
        <v>691</v>
      </c>
      <c r="D14" s="11" t="s">
        <v>692</v>
      </c>
      <c r="E14" s="11" t="s">
        <v>693</v>
      </c>
      <c r="F14" s="11" t="s">
        <v>658</v>
      </c>
      <c r="G14" s="17"/>
      <c r="H14" s="18"/>
      <c r="I14" s="15"/>
      <c r="J14" s="15"/>
      <c r="K14" s="8" t="s">
        <v>690</v>
      </c>
    </row>
    <row r="15" customFormat="false" ht="15" hidden="false" customHeight="false" outlineLevel="0" collapsed="false">
      <c r="A15" s="9" t="n">
        <v>14</v>
      </c>
      <c r="B15" s="8" t="s">
        <v>687</v>
      </c>
      <c r="C15" s="9" t="s">
        <v>694</v>
      </c>
      <c r="D15" s="8" t="s">
        <v>695</v>
      </c>
      <c r="E15" s="11" t="s">
        <v>696</v>
      </c>
      <c r="F15" s="11" t="s">
        <v>658</v>
      </c>
      <c r="G15" s="17"/>
      <c r="H15" s="18"/>
      <c r="I15" s="15"/>
      <c r="J15" s="15"/>
      <c r="K15" s="8" t="s">
        <v>690</v>
      </c>
    </row>
    <row r="16" customFormat="false" ht="15" hidden="false" customHeight="false" outlineLevel="0" collapsed="false">
      <c r="A16" s="9" t="n">
        <v>15</v>
      </c>
      <c r="B16" s="8" t="s">
        <v>687</v>
      </c>
      <c r="C16" s="9" t="s">
        <v>697</v>
      </c>
      <c r="D16" s="11" t="s">
        <v>76</v>
      </c>
      <c r="E16" s="11" t="s">
        <v>698</v>
      </c>
      <c r="F16" s="11" t="s">
        <v>658</v>
      </c>
      <c r="G16" s="17"/>
      <c r="H16" s="18"/>
      <c r="I16" s="15"/>
      <c r="J16" s="15"/>
      <c r="K16" s="8" t="s">
        <v>690</v>
      </c>
    </row>
    <row r="17" customFormat="false" ht="15" hidden="false" customHeight="false" outlineLevel="0" collapsed="false">
      <c r="A17" s="9" t="n">
        <v>16</v>
      </c>
      <c r="B17" s="8" t="s">
        <v>687</v>
      </c>
      <c r="C17" s="9" t="s">
        <v>699</v>
      </c>
      <c r="D17" s="11" t="s">
        <v>700</v>
      </c>
      <c r="E17" s="11" t="s">
        <v>701</v>
      </c>
      <c r="F17" s="11" t="s">
        <v>658</v>
      </c>
      <c r="G17" s="17"/>
      <c r="H17" s="18"/>
      <c r="I17" s="15"/>
      <c r="J17" s="15"/>
      <c r="K17" s="8" t="s">
        <v>690</v>
      </c>
    </row>
    <row r="18" customFormat="false" ht="15" hidden="false" customHeight="false" outlineLevel="0" collapsed="false">
      <c r="A18" s="9" t="n">
        <v>17</v>
      </c>
      <c r="B18" s="8" t="s">
        <v>702</v>
      </c>
      <c r="C18" s="9" t="s">
        <v>703</v>
      </c>
      <c r="D18" s="11" t="s">
        <v>704</v>
      </c>
      <c r="E18" s="11" t="s">
        <v>705</v>
      </c>
      <c r="F18" s="11" t="s">
        <v>658</v>
      </c>
      <c r="G18" s="17"/>
      <c r="H18" s="18"/>
      <c r="I18" s="15"/>
      <c r="J18" s="15"/>
      <c r="K18" s="11" t="s">
        <v>381</v>
      </c>
    </row>
    <row r="19" customFormat="false" ht="15" hidden="false" customHeight="false" outlineLevel="0" collapsed="false">
      <c r="A19" s="9" t="n">
        <v>18</v>
      </c>
      <c r="B19" s="8" t="s">
        <v>702</v>
      </c>
      <c r="C19" s="9" t="s">
        <v>706</v>
      </c>
      <c r="D19" s="8" t="s">
        <v>707</v>
      </c>
      <c r="E19" s="8" t="s">
        <v>708</v>
      </c>
      <c r="F19" s="11" t="s">
        <v>658</v>
      </c>
      <c r="G19" s="17"/>
      <c r="H19" s="18"/>
      <c r="I19" s="15"/>
      <c r="J19" s="15"/>
      <c r="K19" s="11" t="s">
        <v>381</v>
      </c>
    </row>
    <row r="20" customFormat="false" ht="15" hidden="false" customHeight="false" outlineLevel="0" collapsed="false">
      <c r="A20" s="9" t="n">
        <v>19</v>
      </c>
      <c r="B20" s="8" t="s">
        <v>709</v>
      </c>
      <c r="C20" s="9" t="s">
        <v>710</v>
      </c>
      <c r="D20" s="8" t="s">
        <v>711</v>
      </c>
      <c r="E20" s="11" t="s">
        <v>712</v>
      </c>
      <c r="F20" s="11" t="s">
        <v>658</v>
      </c>
      <c r="G20" s="17"/>
      <c r="H20" s="18"/>
      <c r="I20" s="15"/>
      <c r="J20" s="15"/>
      <c r="K20" s="11" t="s">
        <v>713</v>
      </c>
    </row>
    <row r="21" customFormat="false" ht="15" hidden="false" customHeight="false" outlineLevel="0" collapsed="false">
      <c r="A21" s="9" t="n">
        <v>20</v>
      </c>
      <c r="B21" s="8" t="s">
        <v>709</v>
      </c>
      <c r="C21" s="9" t="s">
        <v>714</v>
      </c>
      <c r="D21" s="11" t="s">
        <v>715</v>
      </c>
      <c r="E21" s="11" t="s">
        <v>716</v>
      </c>
      <c r="F21" s="11" t="s">
        <v>658</v>
      </c>
      <c r="G21" s="17"/>
      <c r="H21" s="18"/>
      <c r="I21" s="15"/>
      <c r="J21" s="15"/>
      <c r="K21" s="11" t="s">
        <v>713</v>
      </c>
    </row>
    <row r="22" customFormat="false" ht="15" hidden="false" customHeight="false" outlineLevel="0" collapsed="false">
      <c r="A22" s="9" t="n">
        <v>21</v>
      </c>
      <c r="B22" s="8" t="s">
        <v>709</v>
      </c>
      <c r="C22" s="9" t="s">
        <v>717</v>
      </c>
      <c r="D22" s="11" t="s">
        <v>718</v>
      </c>
      <c r="E22" s="11" t="s">
        <v>719</v>
      </c>
      <c r="F22" s="11" t="s">
        <v>658</v>
      </c>
      <c r="G22" s="17"/>
      <c r="H22" s="18"/>
      <c r="I22" s="15"/>
      <c r="J22" s="15"/>
      <c r="K22" s="11" t="s">
        <v>713</v>
      </c>
    </row>
    <row r="23" customFormat="false" ht="15" hidden="false" customHeight="false" outlineLevel="0" collapsed="false">
      <c r="A23" s="9" t="n">
        <v>22</v>
      </c>
      <c r="B23" s="8" t="s">
        <v>720</v>
      </c>
      <c r="C23" s="9" t="s">
        <v>721</v>
      </c>
      <c r="D23" s="11" t="s">
        <v>722</v>
      </c>
      <c r="E23" s="11" t="s">
        <v>723</v>
      </c>
      <c r="F23" s="11" t="s">
        <v>658</v>
      </c>
      <c r="G23" s="17"/>
      <c r="H23" s="18"/>
      <c r="I23" s="15"/>
      <c r="J23" s="15"/>
      <c r="K23" s="11" t="s">
        <v>724</v>
      </c>
    </row>
    <row r="24" customFormat="false" ht="15" hidden="false" customHeight="false" outlineLevel="0" collapsed="false">
      <c r="A24" s="9" t="n">
        <v>23</v>
      </c>
      <c r="B24" s="8" t="s">
        <v>720</v>
      </c>
      <c r="C24" s="9" t="s">
        <v>725</v>
      </c>
      <c r="D24" s="11" t="s">
        <v>726</v>
      </c>
      <c r="E24" s="11" t="s">
        <v>727</v>
      </c>
      <c r="F24" s="11" t="s">
        <v>658</v>
      </c>
      <c r="G24" s="17"/>
      <c r="H24" s="18"/>
      <c r="I24" s="15"/>
      <c r="J24" s="15"/>
      <c r="K24" s="11" t="s">
        <v>724</v>
      </c>
    </row>
    <row r="25" customFormat="false" ht="15" hidden="false" customHeight="false" outlineLevel="0" collapsed="false">
      <c r="A25" s="9" t="n">
        <v>24</v>
      </c>
      <c r="B25" s="8" t="s">
        <v>720</v>
      </c>
      <c r="C25" s="9" t="s">
        <v>728</v>
      </c>
      <c r="D25" s="8" t="s">
        <v>729</v>
      </c>
      <c r="E25" s="11" t="s">
        <v>730</v>
      </c>
      <c r="F25" s="11" t="s">
        <v>658</v>
      </c>
      <c r="G25" s="17"/>
      <c r="H25" s="18"/>
      <c r="I25" s="15"/>
      <c r="J25" s="15"/>
      <c r="K25" s="11" t="s">
        <v>724</v>
      </c>
    </row>
    <row r="26" customFormat="false" ht="15" hidden="false" customHeight="false" outlineLevel="0" collapsed="false">
      <c r="A26" s="9" t="n">
        <v>25</v>
      </c>
      <c r="B26" s="8" t="s">
        <v>720</v>
      </c>
      <c r="C26" s="9" t="s">
        <v>731</v>
      </c>
      <c r="D26" s="11" t="s">
        <v>732</v>
      </c>
      <c r="E26" s="11" t="s">
        <v>733</v>
      </c>
      <c r="F26" s="11" t="s">
        <v>658</v>
      </c>
      <c r="G26" s="17"/>
      <c r="H26" s="18"/>
      <c r="I26" s="15"/>
      <c r="J26" s="15"/>
      <c r="K26" s="11" t="s">
        <v>724</v>
      </c>
    </row>
    <row r="27" customFormat="false" ht="15" hidden="false" customHeight="false" outlineLevel="0" collapsed="false">
      <c r="A27" s="9" t="n">
        <v>26</v>
      </c>
      <c r="B27" s="8" t="s">
        <v>720</v>
      </c>
      <c r="C27" s="9" t="s">
        <v>734</v>
      </c>
      <c r="D27" s="11" t="s">
        <v>735</v>
      </c>
      <c r="E27" s="11" t="s">
        <v>736</v>
      </c>
      <c r="F27" s="11" t="s">
        <v>658</v>
      </c>
      <c r="G27" s="17"/>
      <c r="H27" s="18"/>
      <c r="I27" s="15"/>
      <c r="J27" s="15"/>
      <c r="K27" s="11" t="s">
        <v>724</v>
      </c>
    </row>
    <row r="28" customFormat="false" ht="15" hidden="false" customHeight="false" outlineLevel="0" collapsed="false">
      <c r="A28" s="9" t="n">
        <v>27</v>
      </c>
      <c r="B28" s="8" t="s">
        <v>737</v>
      </c>
      <c r="C28" s="9" t="s">
        <v>738</v>
      </c>
      <c r="D28" s="11" t="s">
        <v>739</v>
      </c>
      <c r="E28" s="11" t="s">
        <v>740</v>
      </c>
      <c r="F28" s="11" t="s">
        <v>658</v>
      </c>
      <c r="G28" s="17"/>
      <c r="H28" s="18"/>
      <c r="I28" s="15"/>
      <c r="J28" s="15"/>
      <c r="K28" s="11" t="s">
        <v>741</v>
      </c>
    </row>
    <row r="29" customFormat="false" ht="15" hidden="false" customHeight="false" outlineLevel="0" collapsed="false">
      <c r="A29" s="9" t="n">
        <v>28</v>
      </c>
      <c r="B29" s="8" t="s">
        <v>737</v>
      </c>
      <c r="C29" s="9" t="s">
        <v>742</v>
      </c>
      <c r="D29" s="11" t="s">
        <v>743</v>
      </c>
      <c r="E29" s="11" t="s">
        <v>744</v>
      </c>
      <c r="F29" s="11" t="s">
        <v>658</v>
      </c>
      <c r="G29" s="17"/>
      <c r="H29" s="18"/>
      <c r="I29" s="15"/>
      <c r="J29" s="15"/>
      <c r="K29" s="11" t="s">
        <v>741</v>
      </c>
    </row>
    <row r="30" customFormat="false" ht="15" hidden="false" customHeight="false" outlineLevel="0" collapsed="false">
      <c r="A30" s="9" t="n">
        <v>29</v>
      </c>
      <c r="B30" s="8" t="s">
        <v>737</v>
      </c>
      <c r="C30" s="9" t="s">
        <v>745</v>
      </c>
      <c r="D30" s="11" t="s">
        <v>746</v>
      </c>
      <c r="E30" s="11" t="s">
        <v>747</v>
      </c>
      <c r="F30" s="11" t="s">
        <v>658</v>
      </c>
      <c r="G30" s="17"/>
      <c r="H30" s="18"/>
      <c r="I30" s="15"/>
      <c r="J30" s="15"/>
      <c r="K30" s="11" t="s">
        <v>741</v>
      </c>
    </row>
    <row r="31" customFormat="false" ht="15" hidden="false" customHeight="false" outlineLevel="0" collapsed="false">
      <c r="A31" s="9" t="n">
        <v>30</v>
      </c>
      <c r="B31" s="8" t="s">
        <v>737</v>
      </c>
      <c r="C31" s="9" t="s">
        <v>748</v>
      </c>
      <c r="D31" s="11" t="s">
        <v>749</v>
      </c>
      <c r="E31" s="11" t="s">
        <v>750</v>
      </c>
      <c r="F31" s="11" t="s">
        <v>658</v>
      </c>
      <c r="G31" s="17"/>
      <c r="H31" s="18"/>
      <c r="I31" s="15"/>
      <c r="J31" s="15"/>
      <c r="K31" s="11" t="s">
        <v>741</v>
      </c>
    </row>
    <row r="32" customFormat="false" ht="15" hidden="false" customHeight="false" outlineLevel="0" collapsed="false">
      <c r="A32" s="9" t="n">
        <v>31</v>
      </c>
      <c r="B32" s="8" t="s">
        <v>737</v>
      </c>
      <c r="C32" s="9" t="s">
        <v>751</v>
      </c>
      <c r="D32" s="11" t="s">
        <v>752</v>
      </c>
      <c r="E32" s="11" t="s">
        <v>753</v>
      </c>
      <c r="F32" s="11" t="s">
        <v>658</v>
      </c>
      <c r="G32" s="17"/>
      <c r="H32" s="18"/>
      <c r="I32" s="15"/>
      <c r="J32" s="15"/>
      <c r="K32" s="11" t="s">
        <v>741</v>
      </c>
    </row>
  </sheetData>
  <autoFilter ref="A1:K32"/>
  <dataValidations count="1">
    <dataValidation allowBlank="true" error="请选择：通过 / 失败 / 阻塞 / 不适用（留空 = 未测）" errorStyle="stop" errorTitle="测试结果" operator="between" showDropDown="false" showErrorMessage="false" showInputMessage="false" sqref="G2:G32" type="list">
      <formula1>"通过,失败,阻塞,不适用"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7" t="s">
        <v>62</v>
      </c>
      <c r="B1" s="7" t="s">
        <v>20</v>
      </c>
      <c r="C1" s="7" t="s">
        <v>21</v>
      </c>
      <c r="D1" s="7" t="s">
        <v>22</v>
      </c>
      <c r="E1" s="7" t="s">
        <v>63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64</v>
      </c>
    </row>
    <row r="2" customFormat="false" ht="15" hidden="false" customHeight="false" outlineLevel="0" collapsed="false">
      <c r="A2" s="9" t="n">
        <v>1</v>
      </c>
      <c r="B2" s="8" t="s">
        <v>754</v>
      </c>
      <c r="C2" s="9" t="s">
        <v>755</v>
      </c>
      <c r="D2" s="11" t="s">
        <v>756</v>
      </c>
      <c r="E2" s="11" t="s">
        <v>756</v>
      </c>
      <c r="F2" s="11" t="s">
        <v>757</v>
      </c>
      <c r="G2" s="17"/>
      <c r="H2" s="18"/>
      <c r="I2" s="15"/>
      <c r="J2" s="15"/>
      <c r="K2" s="8" t="s">
        <v>758</v>
      </c>
    </row>
    <row r="3" customFormat="false" ht="15" hidden="false" customHeight="false" outlineLevel="0" collapsed="false">
      <c r="A3" s="9" t="n">
        <v>2</v>
      </c>
      <c r="B3" s="8" t="s">
        <v>754</v>
      </c>
      <c r="C3" s="9" t="s">
        <v>759</v>
      </c>
      <c r="D3" s="11" t="s">
        <v>760</v>
      </c>
      <c r="E3" s="11" t="s">
        <v>760</v>
      </c>
      <c r="F3" s="11" t="s">
        <v>757</v>
      </c>
      <c r="G3" s="17"/>
      <c r="H3" s="18"/>
      <c r="I3" s="15"/>
      <c r="J3" s="15"/>
      <c r="K3" s="11" t="s">
        <v>381</v>
      </c>
    </row>
    <row r="4" customFormat="false" ht="15" hidden="false" customHeight="false" outlineLevel="0" collapsed="false">
      <c r="A4" s="9" t="n">
        <v>3</v>
      </c>
      <c r="B4" s="8" t="s">
        <v>754</v>
      </c>
      <c r="C4" s="9" t="s">
        <v>761</v>
      </c>
      <c r="D4" s="8" t="s">
        <v>762</v>
      </c>
      <c r="E4" s="8" t="s">
        <v>762</v>
      </c>
      <c r="F4" s="11" t="s">
        <v>757</v>
      </c>
      <c r="G4" s="17"/>
      <c r="H4" s="18"/>
      <c r="I4" s="15"/>
      <c r="J4" s="15"/>
      <c r="K4" s="11" t="s">
        <v>763</v>
      </c>
    </row>
    <row r="5" customFormat="false" ht="15" hidden="false" customHeight="false" outlineLevel="0" collapsed="false">
      <c r="A5" s="9" t="n">
        <v>4</v>
      </c>
      <c r="B5" s="8" t="s">
        <v>754</v>
      </c>
      <c r="C5" s="9" t="s">
        <v>764</v>
      </c>
      <c r="D5" s="11" t="s">
        <v>765</v>
      </c>
      <c r="E5" s="11" t="s">
        <v>765</v>
      </c>
      <c r="F5" s="11" t="s">
        <v>757</v>
      </c>
      <c r="G5" s="17"/>
      <c r="H5" s="18"/>
      <c r="I5" s="15"/>
      <c r="J5" s="15"/>
      <c r="K5" s="11" t="s">
        <v>766</v>
      </c>
    </row>
    <row r="6" customFormat="false" ht="15" hidden="false" customHeight="false" outlineLevel="0" collapsed="false">
      <c r="A6" s="9" t="n">
        <v>5</v>
      </c>
      <c r="B6" s="8" t="s">
        <v>754</v>
      </c>
      <c r="C6" s="9" t="s">
        <v>767</v>
      </c>
      <c r="D6" s="11" t="s">
        <v>768</v>
      </c>
      <c r="E6" s="11" t="s">
        <v>769</v>
      </c>
      <c r="F6" s="11" t="s">
        <v>757</v>
      </c>
      <c r="G6" s="17"/>
      <c r="H6" s="18"/>
      <c r="I6" s="15"/>
      <c r="J6" s="15"/>
      <c r="K6" s="11" t="s">
        <v>770</v>
      </c>
    </row>
    <row r="7" customFormat="false" ht="15" hidden="false" customHeight="false" outlineLevel="0" collapsed="false">
      <c r="A7" s="9" t="n">
        <v>6</v>
      </c>
      <c r="B7" s="8" t="s">
        <v>771</v>
      </c>
      <c r="C7" s="9" t="s">
        <v>772</v>
      </c>
      <c r="D7" s="8" t="s">
        <v>773</v>
      </c>
      <c r="E7" s="8" t="s">
        <v>773</v>
      </c>
      <c r="F7" s="11" t="s">
        <v>757</v>
      </c>
      <c r="G7" s="17"/>
      <c r="H7" s="18"/>
      <c r="I7" s="15"/>
      <c r="J7" s="15"/>
      <c r="K7" s="11" t="s">
        <v>774</v>
      </c>
    </row>
    <row r="8" customFormat="false" ht="15" hidden="false" customHeight="false" outlineLevel="0" collapsed="false">
      <c r="A8" s="9" t="n">
        <v>7</v>
      </c>
      <c r="B8" s="8" t="s">
        <v>771</v>
      </c>
      <c r="C8" s="9" t="s">
        <v>775</v>
      </c>
      <c r="D8" s="11" t="s">
        <v>776</v>
      </c>
      <c r="E8" s="11" t="s">
        <v>777</v>
      </c>
      <c r="F8" s="11" t="s">
        <v>757</v>
      </c>
      <c r="G8" s="17"/>
      <c r="H8" s="18"/>
      <c r="I8" s="15"/>
      <c r="J8" s="15"/>
      <c r="K8" s="11" t="s">
        <v>778</v>
      </c>
    </row>
    <row r="9" customFormat="false" ht="15" hidden="false" customHeight="false" outlineLevel="0" collapsed="false">
      <c r="A9" s="9" t="n">
        <v>8</v>
      </c>
      <c r="B9" s="8" t="s">
        <v>771</v>
      </c>
      <c r="C9" s="9" t="s">
        <v>779</v>
      </c>
      <c r="D9" s="8" t="s">
        <v>780</v>
      </c>
      <c r="E9" s="11" t="s">
        <v>781</v>
      </c>
      <c r="F9" s="11" t="s">
        <v>757</v>
      </c>
      <c r="G9" s="17"/>
      <c r="H9" s="18"/>
      <c r="I9" s="15"/>
      <c r="J9" s="15"/>
      <c r="K9" s="11" t="s">
        <v>770</v>
      </c>
    </row>
    <row r="10" customFormat="false" ht="15" hidden="false" customHeight="false" outlineLevel="0" collapsed="false">
      <c r="A10" s="9" t="n">
        <v>9</v>
      </c>
      <c r="B10" s="8" t="s">
        <v>771</v>
      </c>
      <c r="C10" s="9" t="s">
        <v>782</v>
      </c>
      <c r="D10" s="11" t="s">
        <v>783</v>
      </c>
      <c r="E10" s="11" t="s">
        <v>784</v>
      </c>
      <c r="F10" s="11" t="s">
        <v>757</v>
      </c>
      <c r="G10" s="17"/>
      <c r="H10" s="18"/>
      <c r="I10" s="15"/>
      <c r="J10" s="15"/>
      <c r="K10" s="11" t="s">
        <v>785</v>
      </c>
    </row>
    <row r="11" customFormat="false" ht="15" hidden="false" customHeight="false" outlineLevel="0" collapsed="false">
      <c r="A11" s="9" t="n">
        <v>10</v>
      </c>
      <c r="B11" s="8" t="s">
        <v>771</v>
      </c>
      <c r="C11" s="9" t="s">
        <v>786</v>
      </c>
      <c r="D11" s="11" t="s">
        <v>787</v>
      </c>
      <c r="E11" s="11" t="s">
        <v>788</v>
      </c>
      <c r="F11" s="11" t="s">
        <v>757</v>
      </c>
      <c r="G11" s="17"/>
      <c r="H11" s="18"/>
      <c r="I11" s="15"/>
      <c r="J11" s="15"/>
      <c r="K11" s="11" t="s">
        <v>770</v>
      </c>
    </row>
    <row r="12" customFormat="false" ht="15" hidden="false" customHeight="false" outlineLevel="0" collapsed="false">
      <c r="A12" s="9" t="n">
        <v>11</v>
      </c>
      <c r="B12" s="8" t="s">
        <v>771</v>
      </c>
      <c r="C12" s="9" t="s">
        <v>789</v>
      </c>
      <c r="D12" s="11" t="s">
        <v>790</v>
      </c>
      <c r="E12" s="11" t="s">
        <v>791</v>
      </c>
      <c r="F12" s="11" t="s">
        <v>757</v>
      </c>
      <c r="G12" s="17"/>
      <c r="H12" s="18"/>
      <c r="I12" s="15"/>
      <c r="J12" s="15"/>
      <c r="K12" s="11" t="s">
        <v>792</v>
      </c>
    </row>
    <row r="13" customFormat="false" ht="15" hidden="false" customHeight="false" outlineLevel="0" collapsed="false">
      <c r="A13" s="9" t="n">
        <v>12</v>
      </c>
      <c r="B13" s="8" t="s">
        <v>771</v>
      </c>
      <c r="C13" s="9" t="s">
        <v>793</v>
      </c>
      <c r="D13" s="11" t="s">
        <v>794</v>
      </c>
      <c r="E13" s="11" t="s">
        <v>795</v>
      </c>
      <c r="F13" s="11" t="s">
        <v>757</v>
      </c>
      <c r="G13" s="17"/>
      <c r="H13" s="18"/>
      <c r="I13" s="15"/>
      <c r="J13" s="15"/>
      <c r="K13" s="11" t="s">
        <v>770</v>
      </c>
    </row>
    <row r="14" customFormat="false" ht="15" hidden="false" customHeight="false" outlineLevel="0" collapsed="false">
      <c r="A14" s="9" t="n">
        <v>13</v>
      </c>
      <c r="B14" s="8" t="s">
        <v>771</v>
      </c>
      <c r="C14" s="9" t="s">
        <v>796</v>
      </c>
      <c r="D14" s="11" t="s">
        <v>797</v>
      </c>
      <c r="E14" s="11" t="s">
        <v>798</v>
      </c>
      <c r="F14" s="11" t="s">
        <v>757</v>
      </c>
      <c r="G14" s="17"/>
      <c r="H14" s="18"/>
      <c r="I14" s="15"/>
      <c r="J14" s="15"/>
      <c r="K14" s="11" t="s">
        <v>770</v>
      </c>
    </row>
    <row r="15" customFormat="false" ht="15" hidden="false" customHeight="false" outlineLevel="0" collapsed="false">
      <c r="A15" s="9" t="n">
        <v>14</v>
      </c>
      <c r="B15" s="8" t="s">
        <v>771</v>
      </c>
      <c r="C15" s="9" t="s">
        <v>799</v>
      </c>
      <c r="D15" s="8" t="s">
        <v>800</v>
      </c>
      <c r="E15" s="11" t="s">
        <v>801</v>
      </c>
      <c r="F15" s="11" t="s">
        <v>757</v>
      </c>
      <c r="G15" s="17"/>
      <c r="H15" s="18"/>
      <c r="I15" s="15"/>
      <c r="J15" s="15"/>
      <c r="K15" s="11" t="s">
        <v>381</v>
      </c>
    </row>
    <row r="16" customFormat="false" ht="15" hidden="false" customHeight="false" outlineLevel="0" collapsed="false">
      <c r="A16" s="9" t="n">
        <v>15</v>
      </c>
      <c r="B16" s="8" t="s">
        <v>802</v>
      </c>
      <c r="C16" s="9" t="s">
        <v>803</v>
      </c>
      <c r="D16" s="11" t="s">
        <v>804</v>
      </c>
      <c r="E16" s="11" t="s">
        <v>805</v>
      </c>
      <c r="F16" s="11" t="s">
        <v>757</v>
      </c>
      <c r="G16" s="17"/>
      <c r="H16" s="18"/>
      <c r="I16" s="15"/>
      <c r="J16" s="15"/>
      <c r="K16" s="11" t="s">
        <v>381</v>
      </c>
    </row>
    <row r="17" customFormat="false" ht="15" hidden="false" customHeight="false" outlineLevel="0" collapsed="false">
      <c r="A17" s="9" t="n">
        <v>16</v>
      </c>
      <c r="B17" s="8" t="s">
        <v>802</v>
      </c>
      <c r="C17" s="9" t="s">
        <v>806</v>
      </c>
      <c r="D17" s="11" t="s">
        <v>807</v>
      </c>
      <c r="E17" s="11" t="s">
        <v>808</v>
      </c>
      <c r="F17" s="11" t="s">
        <v>757</v>
      </c>
      <c r="G17" s="17"/>
      <c r="H17" s="18"/>
      <c r="I17" s="15"/>
      <c r="J17" s="15"/>
      <c r="K17" s="11" t="s">
        <v>809</v>
      </c>
    </row>
    <row r="18" customFormat="false" ht="15" hidden="false" customHeight="false" outlineLevel="0" collapsed="false">
      <c r="A18" s="9" t="n">
        <v>17</v>
      </c>
      <c r="B18" s="8" t="s">
        <v>802</v>
      </c>
      <c r="C18" s="9" t="s">
        <v>810</v>
      </c>
      <c r="D18" s="11" t="s">
        <v>811</v>
      </c>
      <c r="E18" s="11" t="s">
        <v>812</v>
      </c>
      <c r="F18" s="11" t="s">
        <v>757</v>
      </c>
      <c r="G18" s="17"/>
      <c r="H18" s="18"/>
      <c r="I18" s="15"/>
      <c r="J18" s="15"/>
      <c r="K18" s="11" t="s">
        <v>381</v>
      </c>
    </row>
    <row r="19" customFormat="false" ht="15" hidden="false" customHeight="false" outlineLevel="0" collapsed="false">
      <c r="A19" s="9" t="n">
        <v>18</v>
      </c>
      <c r="B19" s="8" t="s">
        <v>813</v>
      </c>
      <c r="C19" s="9" t="s">
        <v>814</v>
      </c>
      <c r="D19" s="11" t="s">
        <v>815</v>
      </c>
      <c r="E19" s="11" t="s">
        <v>816</v>
      </c>
      <c r="F19" s="11" t="s">
        <v>757</v>
      </c>
      <c r="G19" s="17"/>
      <c r="H19" s="18"/>
      <c r="I19" s="15"/>
      <c r="J19" s="15"/>
      <c r="K19" s="11" t="s">
        <v>817</v>
      </c>
    </row>
  </sheetData>
  <autoFilter ref="A1:K19"/>
  <dataValidations count="1">
    <dataValidation allowBlank="true" error="请选择：通过 / 失败 / 阻塞 / 不适用（留空 = 未测）" errorStyle="stop" errorTitle="测试结果" operator="between" showDropDown="false" showErrorMessage="false" showInputMessage="false" sqref="G2:G19" type="list">
      <formula1>"通过,失败,阻塞,不适用"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7" t="s">
        <v>62</v>
      </c>
      <c r="B1" s="7" t="s">
        <v>20</v>
      </c>
      <c r="C1" s="7" t="s">
        <v>21</v>
      </c>
      <c r="D1" s="7" t="s">
        <v>22</v>
      </c>
      <c r="E1" s="7" t="s">
        <v>63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64</v>
      </c>
    </row>
    <row r="2" customFormat="false" ht="15" hidden="false" customHeight="false" outlineLevel="0" collapsed="false">
      <c r="A2" s="9" t="n">
        <v>1</v>
      </c>
      <c r="B2" s="8" t="s">
        <v>818</v>
      </c>
      <c r="C2" s="9" t="s">
        <v>819</v>
      </c>
      <c r="D2" s="11" t="s">
        <v>820</v>
      </c>
      <c r="E2" s="11" t="s">
        <v>820</v>
      </c>
      <c r="F2" s="11" t="s">
        <v>821</v>
      </c>
      <c r="G2" s="17"/>
      <c r="H2" s="18"/>
      <c r="I2" s="15"/>
      <c r="J2" s="15"/>
      <c r="K2" s="11" t="s">
        <v>822</v>
      </c>
    </row>
    <row r="3" customFormat="false" ht="15" hidden="false" customHeight="false" outlineLevel="0" collapsed="false">
      <c r="A3" s="9" t="n">
        <v>2</v>
      </c>
      <c r="B3" s="8" t="s">
        <v>818</v>
      </c>
      <c r="C3" s="9" t="s">
        <v>823</v>
      </c>
      <c r="D3" s="11" t="s">
        <v>824</v>
      </c>
      <c r="E3" s="11" t="s">
        <v>824</v>
      </c>
      <c r="F3" s="11" t="s">
        <v>821</v>
      </c>
      <c r="G3" s="17"/>
      <c r="H3" s="18"/>
      <c r="I3" s="15"/>
      <c r="J3" s="15"/>
      <c r="K3" s="8" t="s">
        <v>825</v>
      </c>
    </row>
    <row r="4" customFormat="false" ht="15" hidden="false" customHeight="false" outlineLevel="0" collapsed="false">
      <c r="A4" s="9" t="n">
        <v>3</v>
      </c>
      <c r="B4" s="8" t="s">
        <v>818</v>
      </c>
      <c r="C4" s="9" t="s">
        <v>826</v>
      </c>
      <c r="D4" s="11" t="s">
        <v>827</v>
      </c>
      <c r="E4" s="11" t="s">
        <v>828</v>
      </c>
      <c r="F4" s="11" t="s">
        <v>821</v>
      </c>
      <c r="G4" s="17"/>
      <c r="H4" s="18"/>
      <c r="I4" s="15"/>
      <c r="J4" s="15"/>
      <c r="K4" s="8" t="s">
        <v>829</v>
      </c>
    </row>
    <row r="5" customFormat="false" ht="15" hidden="false" customHeight="false" outlineLevel="0" collapsed="false">
      <c r="A5" s="9" t="n">
        <v>4</v>
      </c>
      <c r="B5" s="8" t="s">
        <v>818</v>
      </c>
      <c r="C5" s="9" t="s">
        <v>830</v>
      </c>
      <c r="D5" s="8" t="s">
        <v>831</v>
      </c>
      <c r="E5" s="11" t="s">
        <v>832</v>
      </c>
      <c r="F5" s="11" t="s">
        <v>821</v>
      </c>
      <c r="G5" s="17"/>
      <c r="H5" s="18"/>
      <c r="I5" s="15"/>
      <c r="J5" s="15"/>
      <c r="K5" s="8" t="s">
        <v>829</v>
      </c>
    </row>
    <row r="6" customFormat="false" ht="15" hidden="false" customHeight="false" outlineLevel="0" collapsed="false">
      <c r="A6" s="9" t="n">
        <v>5</v>
      </c>
      <c r="B6" s="8" t="s">
        <v>818</v>
      </c>
      <c r="C6" s="9" t="s">
        <v>833</v>
      </c>
      <c r="D6" s="11" t="s">
        <v>834</v>
      </c>
      <c r="E6" s="11" t="s">
        <v>835</v>
      </c>
      <c r="F6" s="11" t="s">
        <v>821</v>
      </c>
      <c r="G6" s="17"/>
      <c r="H6" s="18"/>
      <c r="I6" s="15"/>
      <c r="J6" s="15"/>
      <c r="K6" s="8" t="s">
        <v>829</v>
      </c>
    </row>
    <row r="7" customFormat="false" ht="15" hidden="false" customHeight="false" outlineLevel="0" collapsed="false">
      <c r="A7" s="9" t="n">
        <v>6</v>
      </c>
      <c r="B7" s="8" t="s">
        <v>818</v>
      </c>
      <c r="C7" s="9" t="s">
        <v>836</v>
      </c>
      <c r="D7" s="11" t="s">
        <v>837</v>
      </c>
      <c r="E7" s="11" t="s">
        <v>838</v>
      </c>
      <c r="F7" s="11" t="s">
        <v>821</v>
      </c>
      <c r="G7" s="17"/>
      <c r="H7" s="18"/>
      <c r="I7" s="15"/>
      <c r="J7" s="15"/>
      <c r="K7" s="8" t="s">
        <v>839</v>
      </c>
    </row>
    <row r="8" customFormat="false" ht="15" hidden="false" customHeight="false" outlineLevel="0" collapsed="false">
      <c r="A8" s="9" t="n">
        <v>7</v>
      </c>
      <c r="B8" s="8" t="s">
        <v>818</v>
      </c>
      <c r="C8" s="9" t="s">
        <v>840</v>
      </c>
      <c r="D8" s="11" t="s">
        <v>841</v>
      </c>
      <c r="E8" s="11" t="s">
        <v>842</v>
      </c>
      <c r="F8" s="11" t="s">
        <v>821</v>
      </c>
      <c r="G8" s="17"/>
      <c r="H8" s="18"/>
      <c r="I8" s="15"/>
      <c r="J8" s="15"/>
      <c r="K8" s="11" t="s">
        <v>770</v>
      </c>
    </row>
    <row r="9" customFormat="false" ht="15" hidden="false" customHeight="false" outlineLevel="0" collapsed="false">
      <c r="A9" s="9" t="n">
        <v>8</v>
      </c>
      <c r="B9" s="8" t="s">
        <v>818</v>
      </c>
      <c r="C9" s="9" t="s">
        <v>843</v>
      </c>
      <c r="D9" s="11" t="s">
        <v>844</v>
      </c>
      <c r="E9" s="11" t="s">
        <v>845</v>
      </c>
      <c r="F9" s="11" t="s">
        <v>821</v>
      </c>
      <c r="G9" s="17"/>
      <c r="H9" s="18"/>
      <c r="I9" s="15"/>
      <c r="J9" s="15"/>
      <c r="K9" s="11" t="s">
        <v>402</v>
      </c>
    </row>
    <row r="10" customFormat="false" ht="15" hidden="false" customHeight="false" outlineLevel="0" collapsed="false">
      <c r="A10" s="9" t="n">
        <v>9</v>
      </c>
      <c r="B10" s="8" t="s">
        <v>818</v>
      </c>
      <c r="C10" s="9" t="s">
        <v>846</v>
      </c>
      <c r="D10" s="11" t="s">
        <v>847</v>
      </c>
      <c r="E10" s="11" t="s">
        <v>848</v>
      </c>
      <c r="F10" s="11" t="s">
        <v>821</v>
      </c>
      <c r="G10" s="17" t="s">
        <v>32</v>
      </c>
      <c r="H10" s="18" t="s">
        <v>849</v>
      </c>
      <c r="I10" s="15" t="s">
        <v>455</v>
      </c>
      <c r="J10" s="15" t="s">
        <v>456</v>
      </c>
      <c r="K10" s="8" t="s">
        <v>850</v>
      </c>
    </row>
    <row r="11" customFormat="false" ht="15" hidden="false" customHeight="false" outlineLevel="0" collapsed="false">
      <c r="A11" s="9" t="n">
        <v>10</v>
      </c>
      <c r="B11" s="8" t="s">
        <v>818</v>
      </c>
      <c r="C11" s="9" t="s">
        <v>851</v>
      </c>
      <c r="D11" s="11" t="s">
        <v>852</v>
      </c>
      <c r="E11" s="11" t="s">
        <v>853</v>
      </c>
      <c r="F11" s="11" t="s">
        <v>821</v>
      </c>
      <c r="G11" s="17"/>
      <c r="H11" s="18"/>
      <c r="I11" s="15"/>
      <c r="J11" s="15"/>
      <c r="K11" s="11" t="s">
        <v>402</v>
      </c>
    </row>
  </sheetData>
  <autoFilter ref="A1:K11"/>
  <dataValidations count="1">
    <dataValidation allowBlank="true" error="请选择：通过 / 失败 / 阻塞 / 不适用（留空 = 未测）" errorStyle="stop" errorTitle="测试结果" operator="between" showDropDown="false" showErrorMessage="false" showInputMessage="false" sqref="G2:G11" type="list">
      <formula1>"通过,失败,阻塞,不适用"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7" t="s">
        <v>62</v>
      </c>
      <c r="B1" s="7" t="s">
        <v>20</v>
      </c>
      <c r="C1" s="7" t="s">
        <v>21</v>
      </c>
      <c r="D1" s="7" t="s">
        <v>22</v>
      </c>
      <c r="E1" s="7" t="s">
        <v>63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64</v>
      </c>
    </row>
    <row r="2" customFormat="false" ht="15" hidden="false" customHeight="false" outlineLevel="0" collapsed="false">
      <c r="A2" s="9" t="n">
        <v>1</v>
      </c>
      <c r="B2" s="8" t="s">
        <v>854</v>
      </c>
      <c r="C2" s="9" t="s">
        <v>855</v>
      </c>
      <c r="D2" s="11" t="s">
        <v>856</v>
      </c>
      <c r="E2" s="11" t="s">
        <v>857</v>
      </c>
      <c r="F2" s="11" t="s">
        <v>858</v>
      </c>
      <c r="G2" s="17"/>
      <c r="H2" s="18"/>
      <c r="I2" s="15"/>
      <c r="J2" s="15"/>
      <c r="K2" s="11" t="s">
        <v>859</v>
      </c>
    </row>
    <row r="3" customFormat="false" ht="15" hidden="false" customHeight="false" outlineLevel="0" collapsed="false">
      <c r="A3" s="9" t="n">
        <v>2</v>
      </c>
      <c r="B3" s="8" t="s">
        <v>860</v>
      </c>
      <c r="C3" s="9" t="s">
        <v>861</v>
      </c>
      <c r="D3" s="11" t="s">
        <v>862</v>
      </c>
      <c r="E3" s="11" t="s">
        <v>863</v>
      </c>
      <c r="F3" s="11" t="s">
        <v>858</v>
      </c>
      <c r="G3" s="17"/>
      <c r="H3" s="18"/>
      <c r="I3" s="15"/>
      <c r="J3" s="15"/>
      <c r="K3" s="11" t="s">
        <v>864</v>
      </c>
    </row>
    <row r="4" customFormat="false" ht="15" hidden="false" customHeight="false" outlineLevel="0" collapsed="false">
      <c r="A4" s="9" t="n">
        <v>3</v>
      </c>
      <c r="B4" s="8" t="s">
        <v>860</v>
      </c>
      <c r="C4" s="9" t="s">
        <v>865</v>
      </c>
      <c r="D4" s="11" t="s">
        <v>866</v>
      </c>
      <c r="E4" s="11" t="s">
        <v>867</v>
      </c>
      <c r="F4" s="11" t="s">
        <v>858</v>
      </c>
      <c r="G4" s="17"/>
      <c r="H4" s="18"/>
      <c r="I4" s="15"/>
      <c r="J4" s="15"/>
      <c r="K4" s="11" t="s">
        <v>864</v>
      </c>
    </row>
    <row r="5" customFormat="false" ht="15" hidden="false" customHeight="false" outlineLevel="0" collapsed="false">
      <c r="A5" s="9" t="n">
        <v>4</v>
      </c>
      <c r="B5" s="8" t="s">
        <v>860</v>
      </c>
      <c r="C5" s="9" t="s">
        <v>868</v>
      </c>
      <c r="D5" s="11" t="s">
        <v>869</v>
      </c>
      <c r="E5" s="11" t="s">
        <v>870</v>
      </c>
      <c r="F5" s="11" t="s">
        <v>858</v>
      </c>
      <c r="G5" s="17"/>
      <c r="H5" s="18"/>
      <c r="I5" s="15"/>
      <c r="J5" s="15"/>
      <c r="K5" s="11" t="s">
        <v>864</v>
      </c>
    </row>
    <row r="6" customFormat="false" ht="15" hidden="false" customHeight="false" outlineLevel="0" collapsed="false">
      <c r="A6" s="9" t="n">
        <v>5</v>
      </c>
      <c r="B6" s="8" t="s">
        <v>860</v>
      </c>
      <c r="C6" s="9" t="s">
        <v>871</v>
      </c>
      <c r="D6" s="11" t="s">
        <v>872</v>
      </c>
      <c r="E6" s="11" t="s">
        <v>873</v>
      </c>
      <c r="F6" s="11" t="s">
        <v>858</v>
      </c>
      <c r="G6" s="17"/>
      <c r="H6" s="18"/>
      <c r="I6" s="15"/>
      <c r="J6" s="15"/>
      <c r="K6" s="11" t="s">
        <v>864</v>
      </c>
    </row>
    <row r="7" customFormat="false" ht="15" hidden="false" customHeight="false" outlineLevel="0" collapsed="false">
      <c r="A7" s="9" t="n">
        <v>6</v>
      </c>
      <c r="B7" s="8" t="s">
        <v>874</v>
      </c>
      <c r="C7" s="9" t="s">
        <v>875</v>
      </c>
      <c r="D7" s="11" t="s">
        <v>876</v>
      </c>
      <c r="E7" s="11" t="s">
        <v>876</v>
      </c>
      <c r="F7" s="11" t="s">
        <v>858</v>
      </c>
      <c r="G7" s="17"/>
      <c r="H7" s="18"/>
      <c r="I7" s="15"/>
      <c r="J7" s="15"/>
      <c r="K7" s="11" t="s">
        <v>877</v>
      </c>
    </row>
    <row r="8" customFormat="false" ht="15" hidden="false" customHeight="false" outlineLevel="0" collapsed="false">
      <c r="A8" s="9" t="n">
        <v>7</v>
      </c>
      <c r="B8" s="8" t="s">
        <v>874</v>
      </c>
      <c r="C8" s="9" t="s">
        <v>878</v>
      </c>
      <c r="D8" s="11" t="s">
        <v>879</v>
      </c>
      <c r="E8" s="11" t="s">
        <v>879</v>
      </c>
      <c r="F8" s="11" t="s">
        <v>858</v>
      </c>
      <c r="G8" s="17"/>
      <c r="H8" s="18"/>
      <c r="I8" s="15"/>
      <c r="J8" s="15"/>
      <c r="K8" s="11" t="s">
        <v>877</v>
      </c>
    </row>
    <row r="9" customFormat="false" ht="15" hidden="false" customHeight="false" outlineLevel="0" collapsed="false">
      <c r="A9" s="9" t="n">
        <v>8</v>
      </c>
      <c r="B9" s="8" t="s">
        <v>874</v>
      </c>
      <c r="C9" s="9" t="s">
        <v>880</v>
      </c>
      <c r="D9" s="8" t="s">
        <v>881</v>
      </c>
      <c r="E9" s="8" t="s">
        <v>881</v>
      </c>
      <c r="F9" s="11" t="s">
        <v>858</v>
      </c>
      <c r="G9" s="17"/>
      <c r="H9" s="18"/>
      <c r="I9" s="15"/>
      <c r="J9" s="15"/>
      <c r="K9" s="11" t="s">
        <v>877</v>
      </c>
    </row>
    <row r="10" customFormat="false" ht="15" hidden="false" customHeight="false" outlineLevel="0" collapsed="false">
      <c r="A10" s="9" t="n">
        <v>9</v>
      </c>
      <c r="B10" s="8" t="s">
        <v>874</v>
      </c>
      <c r="C10" s="9" t="s">
        <v>882</v>
      </c>
      <c r="D10" s="8" t="s">
        <v>883</v>
      </c>
      <c r="E10" s="8" t="s">
        <v>884</v>
      </c>
      <c r="F10" s="11" t="s">
        <v>858</v>
      </c>
      <c r="G10" s="17"/>
      <c r="H10" s="18"/>
      <c r="I10" s="15"/>
      <c r="J10" s="15"/>
      <c r="K10" s="11" t="s">
        <v>877</v>
      </c>
    </row>
    <row r="11" customFormat="false" ht="15" hidden="false" customHeight="false" outlineLevel="0" collapsed="false">
      <c r="A11" s="9" t="n">
        <v>10</v>
      </c>
      <c r="B11" s="8" t="s">
        <v>874</v>
      </c>
      <c r="C11" s="9" t="s">
        <v>885</v>
      </c>
      <c r="D11" s="11" t="s">
        <v>886</v>
      </c>
      <c r="E11" s="11" t="s">
        <v>886</v>
      </c>
      <c r="F11" s="11" t="s">
        <v>858</v>
      </c>
      <c r="G11" s="17"/>
      <c r="H11" s="18"/>
      <c r="I11" s="15"/>
      <c r="J11" s="15"/>
      <c r="K11" s="11" t="s">
        <v>877</v>
      </c>
    </row>
    <row r="12" customFormat="false" ht="15" hidden="false" customHeight="false" outlineLevel="0" collapsed="false">
      <c r="A12" s="9" t="n">
        <v>11</v>
      </c>
      <c r="B12" s="8" t="s">
        <v>874</v>
      </c>
      <c r="C12" s="9" t="s">
        <v>887</v>
      </c>
      <c r="D12" s="11" t="s">
        <v>888</v>
      </c>
      <c r="E12" s="11" t="s">
        <v>889</v>
      </c>
      <c r="F12" s="11" t="s">
        <v>858</v>
      </c>
      <c r="G12" s="17"/>
      <c r="H12" s="18"/>
      <c r="I12" s="15"/>
      <c r="J12" s="15"/>
      <c r="K12" s="11" t="s">
        <v>877</v>
      </c>
    </row>
    <row r="13" customFormat="false" ht="15" hidden="false" customHeight="false" outlineLevel="0" collapsed="false">
      <c r="A13" s="9" t="n">
        <v>12</v>
      </c>
      <c r="B13" s="8" t="s">
        <v>890</v>
      </c>
      <c r="C13" s="9" t="s">
        <v>891</v>
      </c>
      <c r="D13" s="11" t="s">
        <v>892</v>
      </c>
      <c r="E13" s="11" t="s">
        <v>893</v>
      </c>
      <c r="F13" s="11" t="s">
        <v>858</v>
      </c>
      <c r="G13" s="17"/>
      <c r="H13" s="18"/>
      <c r="I13" s="15"/>
      <c r="J13" s="15"/>
      <c r="K13" s="11" t="s">
        <v>894</v>
      </c>
    </row>
    <row r="14" customFormat="false" ht="15" hidden="false" customHeight="false" outlineLevel="0" collapsed="false">
      <c r="A14" s="9" t="n">
        <v>13</v>
      </c>
      <c r="B14" s="8" t="s">
        <v>890</v>
      </c>
      <c r="C14" s="9" t="s">
        <v>895</v>
      </c>
      <c r="D14" s="8" t="s">
        <v>896</v>
      </c>
      <c r="E14" s="8" t="s">
        <v>896</v>
      </c>
      <c r="F14" s="11" t="s">
        <v>858</v>
      </c>
      <c r="G14" s="17"/>
      <c r="H14" s="18"/>
      <c r="I14" s="15"/>
      <c r="J14" s="15"/>
      <c r="K14" s="11" t="s">
        <v>894</v>
      </c>
    </row>
    <row r="15" customFormat="false" ht="15" hidden="false" customHeight="false" outlineLevel="0" collapsed="false">
      <c r="A15" s="9" t="n">
        <v>14</v>
      </c>
      <c r="B15" s="8" t="s">
        <v>890</v>
      </c>
      <c r="C15" s="9" t="s">
        <v>897</v>
      </c>
      <c r="D15" s="8" t="s">
        <v>898</v>
      </c>
      <c r="E15" s="11" t="s">
        <v>899</v>
      </c>
      <c r="F15" s="11" t="s">
        <v>858</v>
      </c>
      <c r="G15" s="17"/>
      <c r="H15" s="18"/>
      <c r="I15" s="15"/>
      <c r="J15" s="15"/>
      <c r="K15" s="11" t="s">
        <v>894</v>
      </c>
    </row>
    <row r="16" customFormat="false" ht="15" hidden="false" customHeight="false" outlineLevel="0" collapsed="false">
      <c r="A16" s="9" t="n">
        <v>15</v>
      </c>
      <c r="B16" s="8" t="s">
        <v>890</v>
      </c>
      <c r="C16" s="9" t="s">
        <v>900</v>
      </c>
      <c r="D16" s="11" t="s">
        <v>901</v>
      </c>
      <c r="E16" s="11" t="s">
        <v>902</v>
      </c>
      <c r="F16" s="11" t="s">
        <v>858</v>
      </c>
      <c r="G16" s="17"/>
      <c r="H16" s="18"/>
      <c r="I16" s="15"/>
      <c r="J16" s="15"/>
      <c r="K16" s="11" t="s">
        <v>894</v>
      </c>
    </row>
    <row r="17" customFormat="false" ht="15" hidden="false" customHeight="false" outlineLevel="0" collapsed="false">
      <c r="A17" s="9" t="n">
        <v>16</v>
      </c>
      <c r="B17" s="8" t="s">
        <v>890</v>
      </c>
      <c r="C17" s="9" t="s">
        <v>903</v>
      </c>
      <c r="D17" s="8" t="s">
        <v>904</v>
      </c>
      <c r="E17" s="8" t="s">
        <v>904</v>
      </c>
      <c r="F17" s="11" t="s">
        <v>858</v>
      </c>
      <c r="G17" s="17"/>
      <c r="H17" s="18"/>
      <c r="I17" s="15"/>
      <c r="J17" s="15"/>
      <c r="K17" s="11" t="s">
        <v>894</v>
      </c>
    </row>
    <row r="18" customFormat="false" ht="15" hidden="false" customHeight="false" outlineLevel="0" collapsed="false">
      <c r="A18" s="9" t="n">
        <v>17</v>
      </c>
      <c r="B18" s="8" t="s">
        <v>905</v>
      </c>
      <c r="C18" s="9" t="s">
        <v>906</v>
      </c>
      <c r="D18" s="11" t="s">
        <v>907</v>
      </c>
      <c r="E18" s="11" t="s">
        <v>907</v>
      </c>
      <c r="F18" s="11" t="s">
        <v>858</v>
      </c>
      <c r="G18" s="17"/>
      <c r="H18" s="18"/>
      <c r="I18" s="15"/>
      <c r="J18" s="15"/>
      <c r="K18" s="8" t="s">
        <v>908</v>
      </c>
    </row>
    <row r="19" customFormat="false" ht="15" hidden="false" customHeight="false" outlineLevel="0" collapsed="false">
      <c r="A19" s="9" t="n">
        <v>18</v>
      </c>
      <c r="B19" s="8" t="s">
        <v>905</v>
      </c>
      <c r="C19" s="9" t="s">
        <v>909</v>
      </c>
      <c r="D19" s="11" t="s">
        <v>910</v>
      </c>
      <c r="E19" s="11" t="s">
        <v>911</v>
      </c>
      <c r="F19" s="11" t="s">
        <v>858</v>
      </c>
      <c r="G19" s="17"/>
      <c r="H19" s="18"/>
      <c r="I19" s="15"/>
      <c r="J19" s="15"/>
      <c r="K19" s="8" t="s">
        <v>908</v>
      </c>
    </row>
    <row r="20" customFormat="false" ht="15" hidden="false" customHeight="false" outlineLevel="0" collapsed="false">
      <c r="A20" s="9" t="n">
        <v>19</v>
      </c>
      <c r="B20" s="8" t="s">
        <v>905</v>
      </c>
      <c r="C20" s="9" t="s">
        <v>912</v>
      </c>
      <c r="D20" s="11" t="s">
        <v>913</v>
      </c>
      <c r="E20" s="11" t="s">
        <v>914</v>
      </c>
      <c r="F20" s="11" t="s">
        <v>858</v>
      </c>
      <c r="G20" s="17"/>
      <c r="H20" s="18"/>
      <c r="I20" s="15"/>
      <c r="J20" s="15"/>
      <c r="K20" s="8" t="s">
        <v>908</v>
      </c>
    </row>
    <row r="21" customFormat="false" ht="15" hidden="false" customHeight="false" outlineLevel="0" collapsed="false">
      <c r="A21" s="9" t="n">
        <v>20</v>
      </c>
      <c r="B21" s="8" t="s">
        <v>905</v>
      </c>
      <c r="C21" s="9" t="s">
        <v>915</v>
      </c>
      <c r="D21" s="11" t="s">
        <v>916</v>
      </c>
      <c r="E21" s="11" t="s">
        <v>917</v>
      </c>
      <c r="F21" s="11" t="s">
        <v>858</v>
      </c>
      <c r="G21" s="17"/>
      <c r="H21" s="18"/>
      <c r="I21" s="15"/>
      <c r="J21" s="15"/>
      <c r="K21" s="8" t="s">
        <v>908</v>
      </c>
    </row>
    <row r="22" customFormat="false" ht="15" hidden="false" customHeight="false" outlineLevel="0" collapsed="false">
      <c r="A22" s="9" t="n">
        <v>21</v>
      </c>
      <c r="B22" s="8" t="s">
        <v>918</v>
      </c>
      <c r="C22" s="9" t="s">
        <v>919</v>
      </c>
      <c r="D22" s="11" t="s">
        <v>920</v>
      </c>
      <c r="E22" s="11" t="s">
        <v>921</v>
      </c>
      <c r="F22" s="11" t="s">
        <v>858</v>
      </c>
      <c r="G22" s="17"/>
      <c r="H22" s="18"/>
      <c r="I22" s="15"/>
      <c r="J22" s="15"/>
      <c r="K22" s="11" t="s">
        <v>402</v>
      </c>
    </row>
    <row r="23" customFormat="false" ht="15" hidden="false" customHeight="false" outlineLevel="0" collapsed="false">
      <c r="A23" s="9" t="n">
        <v>22</v>
      </c>
      <c r="B23" s="8" t="s">
        <v>918</v>
      </c>
      <c r="C23" s="9" t="s">
        <v>922</v>
      </c>
      <c r="D23" s="8" t="s">
        <v>923</v>
      </c>
      <c r="E23" s="11" t="s">
        <v>924</v>
      </c>
      <c r="F23" s="11" t="s">
        <v>858</v>
      </c>
      <c r="G23" s="17"/>
      <c r="H23" s="18"/>
      <c r="I23" s="15"/>
      <c r="J23" s="15"/>
      <c r="K23" s="11" t="s">
        <v>402</v>
      </c>
    </row>
    <row r="24" customFormat="false" ht="15" hidden="false" customHeight="false" outlineLevel="0" collapsed="false">
      <c r="A24" s="9" t="n">
        <v>23</v>
      </c>
      <c r="B24" s="8" t="s">
        <v>918</v>
      </c>
      <c r="C24" s="9" t="s">
        <v>925</v>
      </c>
      <c r="D24" s="8" t="s">
        <v>926</v>
      </c>
      <c r="E24" s="11" t="s">
        <v>927</v>
      </c>
      <c r="F24" s="11" t="s">
        <v>858</v>
      </c>
      <c r="G24" s="17"/>
      <c r="H24" s="18"/>
      <c r="I24" s="15"/>
      <c r="J24" s="15"/>
      <c r="K24" s="11" t="s">
        <v>402</v>
      </c>
    </row>
    <row r="25" customFormat="false" ht="15" hidden="false" customHeight="false" outlineLevel="0" collapsed="false">
      <c r="A25" s="9" t="n">
        <v>24</v>
      </c>
      <c r="B25" s="8" t="s">
        <v>918</v>
      </c>
      <c r="C25" s="9" t="s">
        <v>928</v>
      </c>
      <c r="D25" s="11" t="s">
        <v>929</v>
      </c>
      <c r="E25" s="11" t="s">
        <v>930</v>
      </c>
      <c r="F25" s="11" t="s">
        <v>858</v>
      </c>
      <c r="G25" s="17"/>
      <c r="H25" s="18"/>
      <c r="I25" s="15"/>
      <c r="J25" s="15"/>
      <c r="K25" s="11" t="s">
        <v>402</v>
      </c>
    </row>
    <row r="26" customFormat="false" ht="15" hidden="false" customHeight="false" outlineLevel="0" collapsed="false">
      <c r="A26" s="9" t="n">
        <v>25</v>
      </c>
      <c r="B26" s="8" t="s">
        <v>918</v>
      </c>
      <c r="C26" s="9" t="s">
        <v>931</v>
      </c>
      <c r="D26" s="11" t="s">
        <v>932</v>
      </c>
      <c r="E26" s="11" t="s">
        <v>933</v>
      </c>
      <c r="F26" s="11" t="s">
        <v>858</v>
      </c>
      <c r="G26" s="17"/>
      <c r="H26" s="18"/>
      <c r="I26" s="15"/>
      <c r="J26" s="15"/>
      <c r="K26" s="11" t="s">
        <v>402</v>
      </c>
    </row>
    <row r="27" customFormat="false" ht="15" hidden="false" customHeight="false" outlineLevel="0" collapsed="false">
      <c r="A27" s="9" t="n">
        <v>26</v>
      </c>
      <c r="B27" s="8" t="s">
        <v>918</v>
      </c>
      <c r="C27" s="9" t="s">
        <v>934</v>
      </c>
      <c r="D27" s="11" t="s">
        <v>935</v>
      </c>
      <c r="E27" s="11" t="s">
        <v>936</v>
      </c>
      <c r="F27" s="11" t="s">
        <v>858</v>
      </c>
      <c r="G27" s="17"/>
      <c r="H27" s="18"/>
      <c r="I27" s="15"/>
      <c r="J27" s="15"/>
      <c r="K27" s="11" t="s">
        <v>402</v>
      </c>
    </row>
    <row r="28" customFormat="false" ht="15" hidden="false" customHeight="false" outlineLevel="0" collapsed="false">
      <c r="A28" s="9" t="n">
        <v>27</v>
      </c>
      <c r="B28" s="8" t="s">
        <v>918</v>
      </c>
      <c r="C28" s="9" t="s">
        <v>937</v>
      </c>
      <c r="D28" s="11" t="s">
        <v>938</v>
      </c>
      <c r="E28" s="11" t="s">
        <v>939</v>
      </c>
      <c r="F28" s="11" t="s">
        <v>858</v>
      </c>
      <c r="G28" s="17"/>
      <c r="H28" s="18"/>
      <c r="I28" s="15"/>
      <c r="J28" s="15"/>
      <c r="K28" s="11" t="s">
        <v>402</v>
      </c>
    </row>
    <row r="29" customFormat="false" ht="15" hidden="false" customHeight="false" outlineLevel="0" collapsed="false">
      <c r="A29" s="9" t="n">
        <v>28</v>
      </c>
      <c r="B29" s="8" t="s">
        <v>918</v>
      </c>
      <c r="C29" s="9" t="s">
        <v>940</v>
      </c>
      <c r="D29" s="11" t="s">
        <v>941</v>
      </c>
      <c r="E29" s="11" t="s">
        <v>942</v>
      </c>
      <c r="F29" s="11" t="s">
        <v>858</v>
      </c>
      <c r="G29" s="17"/>
      <c r="H29" s="18"/>
      <c r="I29" s="15"/>
      <c r="J29" s="15"/>
      <c r="K29" s="11" t="s">
        <v>402</v>
      </c>
    </row>
  </sheetData>
  <autoFilter ref="A1:K29"/>
  <dataValidations count="1">
    <dataValidation allowBlank="true" error="请选择：通过 / 失败 / 阻塞 / 不适用（留空 = 未测）" errorStyle="stop" errorTitle="测试结果" operator="between" showDropDown="false" showErrorMessage="false" showInputMessage="false" sqref="G2:G29" type="list">
      <formula1>"通过,失败,阻塞,不适用"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7" t="s">
        <v>62</v>
      </c>
      <c r="B1" s="7" t="s">
        <v>20</v>
      </c>
      <c r="C1" s="7" t="s">
        <v>21</v>
      </c>
      <c r="D1" s="7" t="s">
        <v>22</v>
      </c>
      <c r="E1" s="7" t="s">
        <v>63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64</v>
      </c>
    </row>
    <row r="2" customFormat="false" ht="15" hidden="false" customHeight="false" outlineLevel="0" collapsed="false">
      <c r="A2" s="9" t="n">
        <v>1</v>
      </c>
      <c r="B2" s="8" t="s">
        <v>943</v>
      </c>
      <c r="C2" s="9" t="s">
        <v>944</v>
      </c>
      <c r="D2" s="11" t="s">
        <v>945</v>
      </c>
      <c r="E2" s="11" t="s">
        <v>945</v>
      </c>
      <c r="F2" s="11" t="s">
        <v>946</v>
      </c>
      <c r="G2" s="17"/>
      <c r="H2" s="18"/>
      <c r="I2" s="15"/>
      <c r="J2" s="15"/>
      <c r="K2" s="8" t="s">
        <v>947</v>
      </c>
    </row>
    <row r="3" customFormat="false" ht="15" hidden="false" customHeight="false" outlineLevel="0" collapsed="false">
      <c r="A3" s="9" t="n">
        <v>2</v>
      </c>
      <c r="B3" s="8" t="s">
        <v>943</v>
      </c>
      <c r="C3" s="9" t="s">
        <v>948</v>
      </c>
      <c r="D3" s="11" t="s">
        <v>949</v>
      </c>
      <c r="E3" s="11" t="s">
        <v>950</v>
      </c>
      <c r="F3" s="11" t="s">
        <v>946</v>
      </c>
      <c r="G3" s="17"/>
      <c r="H3" s="18"/>
      <c r="I3" s="15"/>
      <c r="J3" s="15"/>
      <c r="K3" s="11" t="s">
        <v>402</v>
      </c>
    </row>
    <row r="4" customFormat="false" ht="15" hidden="false" customHeight="false" outlineLevel="0" collapsed="false">
      <c r="A4" s="9" t="n">
        <v>3</v>
      </c>
      <c r="B4" s="8" t="s">
        <v>943</v>
      </c>
      <c r="C4" s="9" t="s">
        <v>951</v>
      </c>
      <c r="D4" s="8" t="s">
        <v>952</v>
      </c>
      <c r="E4" s="11" t="s">
        <v>953</v>
      </c>
      <c r="F4" s="11" t="s">
        <v>946</v>
      </c>
      <c r="G4" s="17"/>
      <c r="H4" s="18"/>
      <c r="I4" s="15"/>
      <c r="J4" s="15"/>
      <c r="K4" s="11" t="s">
        <v>402</v>
      </c>
    </row>
    <row r="5" customFormat="false" ht="15" hidden="false" customHeight="false" outlineLevel="0" collapsed="false">
      <c r="A5" s="9" t="n">
        <v>4</v>
      </c>
      <c r="B5" s="8" t="s">
        <v>943</v>
      </c>
      <c r="C5" s="9" t="s">
        <v>954</v>
      </c>
      <c r="D5" s="11" t="s">
        <v>955</v>
      </c>
      <c r="E5" s="11" t="s">
        <v>956</v>
      </c>
      <c r="F5" s="11" t="s">
        <v>946</v>
      </c>
      <c r="G5" s="17"/>
      <c r="H5" s="18"/>
      <c r="I5" s="15"/>
      <c r="J5" s="15"/>
      <c r="K5" s="11" t="s">
        <v>402</v>
      </c>
    </row>
    <row r="6" customFormat="false" ht="15" hidden="false" customHeight="false" outlineLevel="0" collapsed="false">
      <c r="A6" s="9" t="n">
        <v>5</v>
      </c>
      <c r="B6" s="8" t="s">
        <v>943</v>
      </c>
      <c r="C6" s="9" t="s">
        <v>957</v>
      </c>
      <c r="D6" s="8" t="s">
        <v>958</v>
      </c>
      <c r="E6" s="11" t="s">
        <v>959</v>
      </c>
      <c r="F6" s="11" t="s">
        <v>946</v>
      </c>
      <c r="G6" s="17"/>
      <c r="H6" s="18"/>
      <c r="I6" s="15"/>
      <c r="J6" s="15"/>
      <c r="K6" s="11" t="s">
        <v>402</v>
      </c>
    </row>
    <row r="7" customFormat="false" ht="15" hidden="false" customHeight="false" outlineLevel="0" collapsed="false">
      <c r="A7" s="9" t="n">
        <v>6</v>
      </c>
      <c r="B7" s="8" t="s">
        <v>943</v>
      </c>
      <c r="C7" s="9" t="s">
        <v>960</v>
      </c>
      <c r="D7" s="8" t="s">
        <v>961</v>
      </c>
      <c r="E7" s="11" t="s">
        <v>962</v>
      </c>
      <c r="F7" s="11" t="s">
        <v>946</v>
      </c>
      <c r="G7" s="17"/>
      <c r="H7" s="18"/>
      <c r="I7" s="15"/>
      <c r="J7" s="15"/>
      <c r="K7" s="11" t="s">
        <v>402</v>
      </c>
    </row>
    <row r="8" customFormat="false" ht="15" hidden="false" customHeight="false" outlineLevel="0" collapsed="false">
      <c r="A8" s="9" t="n">
        <v>7</v>
      </c>
      <c r="B8" s="8" t="s">
        <v>943</v>
      </c>
      <c r="C8" s="9" t="s">
        <v>963</v>
      </c>
      <c r="D8" s="8" t="s">
        <v>964</v>
      </c>
      <c r="E8" s="11" t="s">
        <v>965</v>
      </c>
      <c r="F8" s="11" t="s">
        <v>946</v>
      </c>
      <c r="G8" s="17"/>
      <c r="H8" s="18"/>
      <c r="I8" s="15"/>
      <c r="J8" s="15"/>
      <c r="K8" s="11" t="s">
        <v>402</v>
      </c>
    </row>
    <row r="9" customFormat="false" ht="15" hidden="false" customHeight="false" outlineLevel="0" collapsed="false">
      <c r="A9" s="9" t="n">
        <v>8</v>
      </c>
      <c r="B9" s="8" t="s">
        <v>943</v>
      </c>
      <c r="C9" s="9" t="s">
        <v>966</v>
      </c>
      <c r="D9" s="11" t="s">
        <v>967</v>
      </c>
      <c r="E9" s="11" t="s">
        <v>968</v>
      </c>
      <c r="F9" s="11" t="s">
        <v>946</v>
      </c>
      <c r="G9" s="17"/>
      <c r="H9" s="18"/>
      <c r="I9" s="15"/>
      <c r="J9" s="15"/>
      <c r="K9" s="11" t="s">
        <v>402</v>
      </c>
    </row>
    <row r="10" customFormat="false" ht="15" hidden="false" customHeight="false" outlineLevel="0" collapsed="false">
      <c r="A10" s="9" t="n">
        <v>9</v>
      </c>
      <c r="B10" s="8" t="s">
        <v>969</v>
      </c>
      <c r="C10" s="9" t="s">
        <v>970</v>
      </c>
      <c r="D10" s="11" t="s">
        <v>971</v>
      </c>
      <c r="E10" s="11" t="s">
        <v>972</v>
      </c>
      <c r="F10" s="11" t="s">
        <v>946</v>
      </c>
      <c r="G10" s="17"/>
      <c r="H10" s="18"/>
      <c r="I10" s="15"/>
      <c r="J10" s="15"/>
      <c r="K10" s="11" t="s">
        <v>402</v>
      </c>
    </row>
    <row r="11" customFormat="false" ht="15" hidden="false" customHeight="false" outlineLevel="0" collapsed="false">
      <c r="A11" s="9" t="n">
        <v>10</v>
      </c>
      <c r="B11" s="8" t="s">
        <v>969</v>
      </c>
      <c r="C11" s="9" t="s">
        <v>973</v>
      </c>
      <c r="D11" s="11" t="s">
        <v>76</v>
      </c>
      <c r="E11" s="11" t="s">
        <v>974</v>
      </c>
      <c r="F11" s="11" t="s">
        <v>946</v>
      </c>
      <c r="G11" s="17"/>
      <c r="H11" s="18"/>
      <c r="I11" s="15"/>
      <c r="J11" s="15"/>
      <c r="K11" s="11" t="s">
        <v>402</v>
      </c>
    </row>
    <row r="12" customFormat="false" ht="15" hidden="false" customHeight="false" outlineLevel="0" collapsed="false">
      <c r="A12" s="9" t="n">
        <v>11</v>
      </c>
      <c r="B12" s="8" t="s">
        <v>969</v>
      </c>
      <c r="C12" s="9" t="s">
        <v>975</v>
      </c>
      <c r="D12" s="11" t="s">
        <v>976</v>
      </c>
      <c r="E12" s="11" t="s">
        <v>977</v>
      </c>
      <c r="F12" s="11" t="s">
        <v>946</v>
      </c>
      <c r="G12" s="17"/>
      <c r="H12" s="18"/>
      <c r="I12" s="15"/>
      <c r="J12" s="15"/>
      <c r="K12" s="11" t="s">
        <v>402</v>
      </c>
    </row>
    <row r="13" customFormat="false" ht="15" hidden="false" customHeight="false" outlineLevel="0" collapsed="false">
      <c r="A13" s="9" t="n">
        <v>12</v>
      </c>
      <c r="B13" s="8" t="s">
        <v>969</v>
      </c>
      <c r="C13" s="9" t="s">
        <v>978</v>
      </c>
      <c r="D13" s="11" t="s">
        <v>979</v>
      </c>
      <c r="E13" s="11" t="s">
        <v>980</v>
      </c>
      <c r="F13" s="11" t="s">
        <v>946</v>
      </c>
      <c r="G13" s="17"/>
      <c r="H13" s="18"/>
      <c r="I13" s="15"/>
      <c r="J13" s="15"/>
      <c r="K13" s="11" t="s">
        <v>402</v>
      </c>
    </row>
    <row r="14" customFormat="false" ht="15" hidden="false" customHeight="false" outlineLevel="0" collapsed="false">
      <c r="A14" s="9" t="n">
        <v>13</v>
      </c>
      <c r="B14" s="8" t="s">
        <v>969</v>
      </c>
      <c r="C14" s="9" t="s">
        <v>981</v>
      </c>
      <c r="D14" s="11" t="s">
        <v>982</v>
      </c>
      <c r="E14" s="11" t="s">
        <v>983</v>
      </c>
      <c r="F14" s="11" t="s">
        <v>946</v>
      </c>
      <c r="G14" s="17"/>
      <c r="H14" s="18"/>
      <c r="I14" s="15"/>
      <c r="J14" s="15"/>
      <c r="K14" s="11" t="s">
        <v>402</v>
      </c>
    </row>
  </sheetData>
  <autoFilter ref="A1:K14"/>
  <dataValidations count="1">
    <dataValidation allowBlank="true" error="请选择：通过 / 失败 / 阻塞 / 不适用（留空 = 未测）" errorStyle="stop" errorTitle="测试结果" operator="between" showDropDown="false" showErrorMessage="false" showInputMessage="false" sqref="G2:G14" type="list">
      <formula1>"通过,失败,阻塞,不适用"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7" t="s">
        <v>62</v>
      </c>
      <c r="B1" s="7" t="s">
        <v>20</v>
      </c>
      <c r="C1" s="7" t="s">
        <v>21</v>
      </c>
      <c r="D1" s="7" t="s">
        <v>22</v>
      </c>
      <c r="E1" s="7" t="s">
        <v>63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64</v>
      </c>
    </row>
    <row r="2" customFormat="false" ht="15" hidden="false" customHeight="false" outlineLevel="0" collapsed="false">
      <c r="A2" s="9" t="n">
        <v>1</v>
      </c>
      <c r="B2" s="8" t="s">
        <v>984</v>
      </c>
      <c r="C2" s="9" t="s">
        <v>985</v>
      </c>
      <c r="D2" s="8" t="s">
        <v>986</v>
      </c>
      <c r="E2" s="8" t="s">
        <v>986</v>
      </c>
      <c r="F2" s="11" t="s">
        <v>987</v>
      </c>
      <c r="G2" s="17"/>
      <c r="H2" s="18"/>
      <c r="I2" s="15"/>
      <c r="J2" s="15"/>
      <c r="K2" s="11" t="s">
        <v>402</v>
      </c>
    </row>
    <row r="3" customFormat="false" ht="15" hidden="false" customHeight="false" outlineLevel="0" collapsed="false">
      <c r="A3" s="9" t="n">
        <v>2</v>
      </c>
      <c r="B3" s="8" t="s">
        <v>984</v>
      </c>
      <c r="C3" s="9" t="s">
        <v>988</v>
      </c>
      <c r="D3" s="11" t="s">
        <v>989</v>
      </c>
      <c r="E3" s="11" t="s">
        <v>989</v>
      </c>
      <c r="F3" s="11" t="s">
        <v>987</v>
      </c>
      <c r="G3" s="17"/>
      <c r="H3" s="18"/>
      <c r="I3" s="15"/>
      <c r="J3" s="15"/>
      <c r="K3" s="11" t="s">
        <v>402</v>
      </c>
    </row>
    <row r="4" customFormat="false" ht="15" hidden="false" customHeight="false" outlineLevel="0" collapsed="false">
      <c r="A4" s="9" t="n">
        <v>3</v>
      </c>
      <c r="B4" s="8" t="s">
        <v>984</v>
      </c>
      <c r="C4" s="9" t="s">
        <v>990</v>
      </c>
      <c r="D4" s="8" t="s">
        <v>991</v>
      </c>
      <c r="E4" s="8" t="s">
        <v>992</v>
      </c>
      <c r="F4" s="11" t="s">
        <v>987</v>
      </c>
      <c r="G4" s="17"/>
      <c r="H4" s="18"/>
      <c r="I4" s="15"/>
      <c r="J4" s="15"/>
      <c r="K4" s="11" t="s">
        <v>402</v>
      </c>
    </row>
    <row r="5" customFormat="false" ht="15" hidden="false" customHeight="false" outlineLevel="0" collapsed="false">
      <c r="A5" s="9" t="n">
        <v>4</v>
      </c>
      <c r="B5" s="8" t="s">
        <v>984</v>
      </c>
      <c r="C5" s="9" t="s">
        <v>993</v>
      </c>
      <c r="D5" s="11" t="s">
        <v>994</v>
      </c>
      <c r="E5" s="11" t="s">
        <v>994</v>
      </c>
      <c r="F5" s="11" t="s">
        <v>987</v>
      </c>
      <c r="G5" s="17"/>
      <c r="H5" s="18"/>
      <c r="I5" s="15"/>
      <c r="J5" s="15"/>
      <c r="K5" s="11" t="s">
        <v>402</v>
      </c>
    </row>
    <row r="6" customFormat="false" ht="15" hidden="false" customHeight="false" outlineLevel="0" collapsed="false">
      <c r="A6" s="9" t="n">
        <v>5</v>
      </c>
      <c r="B6" s="8" t="s">
        <v>984</v>
      </c>
      <c r="C6" s="9" t="s">
        <v>995</v>
      </c>
      <c r="D6" s="11" t="s">
        <v>996</v>
      </c>
      <c r="E6" s="11" t="s">
        <v>996</v>
      </c>
      <c r="F6" s="11" t="s">
        <v>987</v>
      </c>
      <c r="G6" s="17"/>
      <c r="H6" s="18"/>
      <c r="I6" s="15"/>
      <c r="J6" s="15"/>
      <c r="K6" s="11" t="s">
        <v>402</v>
      </c>
    </row>
    <row r="7" customFormat="false" ht="15" hidden="false" customHeight="false" outlineLevel="0" collapsed="false">
      <c r="A7" s="9" t="n">
        <v>6</v>
      </c>
      <c r="B7" s="8" t="s">
        <v>997</v>
      </c>
      <c r="C7" s="9" t="s">
        <v>998</v>
      </c>
      <c r="D7" s="8" t="s">
        <v>999</v>
      </c>
      <c r="E7" s="11" t="s">
        <v>1000</v>
      </c>
      <c r="F7" s="11" t="s">
        <v>987</v>
      </c>
      <c r="G7" s="17"/>
      <c r="H7" s="18"/>
      <c r="I7" s="15"/>
      <c r="J7" s="15"/>
      <c r="K7" s="11" t="s">
        <v>402</v>
      </c>
    </row>
    <row r="8" customFormat="false" ht="15" hidden="false" customHeight="false" outlineLevel="0" collapsed="false">
      <c r="A8" s="9" t="n">
        <v>7</v>
      </c>
      <c r="B8" s="8" t="s">
        <v>997</v>
      </c>
      <c r="C8" s="9" t="s">
        <v>1001</v>
      </c>
      <c r="D8" s="11" t="s">
        <v>1002</v>
      </c>
      <c r="E8" s="11" t="s">
        <v>1003</v>
      </c>
      <c r="F8" s="11" t="s">
        <v>987</v>
      </c>
      <c r="G8" s="17"/>
      <c r="H8" s="18"/>
      <c r="I8" s="15"/>
      <c r="J8" s="15"/>
      <c r="K8" s="11" t="s">
        <v>402</v>
      </c>
    </row>
    <row r="9" customFormat="false" ht="15" hidden="false" customHeight="false" outlineLevel="0" collapsed="false">
      <c r="A9" s="9" t="n">
        <v>8</v>
      </c>
      <c r="B9" s="8" t="s">
        <v>997</v>
      </c>
      <c r="C9" s="9" t="s">
        <v>1004</v>
      </c>
      <c r="D9" s="8" t="s">
        <v>1005</v>
      </c>
      <c r="E9" s="11" t="s">
        <v>1006</v>
      </c>
      <c r="F9" s="11" t="s">
        <v>987</v>
      </c>
      <c r="G9" s="17"/>
      <c r="H9" s="18"/>
      <c r="I9" s="15"/>
      <c r="J9" s="15"/>
      <c r="K9" s="11" t="s">
        <v>402</v>
      </c>
    </row>
    <row r="10" customFormat="false" ht="15" hidden="false" customHeight="false" outlineLevel="0" collapsed="false">
      <c r="A10" s="9" t="n">
        <v>9</v>
      </c>
      <c r="B10" s="8" t="s">
        <v>1007</v>
      </c>
      <c r="C10" s="9" t="s">
        <v>1008</v>
      </c>
      <c r="D10" s="8" t="s">
        <v>1009</v>
      </c>
      <c r="E10" s="8" t="s">
        <v>1010</v>
      </c>
      <c r="F10" s="11" t="s">
        <v>987</v>
      </c>
      <c r="G10" s="17"/>
      <c r="H10" s="18"/>
      <c r="I10" s="15"/>
      <c r="J10" s="15"/>
      <c r="K10" s="8" t="s">
        <v>1011</v>
      </c>
    </row>
    <row r="11" customFormat="false" ht="15" hidden="false" customHeight="false" outlineLevel="0" collapsed="false">
      <c r="A11" s="9" t="n">
        <v>10</v>
      </c>
      <c r="B11" s="8" t="s">
        <v>1007</v>
      </c>
      <c r="C11" s="9" t="s">
        <v>1012</v>
      </c>
      <c r="D11" s="11" t="s">
        <v>1013</v>
      </c>
      <c r="E11" s="11" t="s">
        <v>1014</v>
      </c>
      <c r="F11" s="11" t="s">
        <v>987</v>
      </c>
      <c r="G11" s="17"/>
      <c r="H11" s="18"/>
      <c r="I11" s="15"/>
      <c r="J11" s="15"/>
      <c r="K11" s="8" t="s">
        <v>1011</v>
      </c>
    </row>
    <row r="12" customFormat="false" ht="15" hidden="false" customHeight="false" outlineLevel="0" collapsed="false">
      <c r="A12" s="9" t="n">
        <v>11</v>
      </c>
      <c r="B12" s="8" t="s">
        <v>1007</v>
      </c>
      <c r="C12" s="9" t="s">
        <v>1015</v>
      </c>
      <c r="D12" s="8" t="s">
        <v>1016</v>
      </c>
      <c r="E12" s="11" t="s">
        <v>1017</v>
      </c>
      <c r="F12" s="11" t="s">
        <v>987</v>
      </c>
      <c r="G12" s="17"/>
      <c r="H12" s="18"/>
      <c r="I12" s="15"/>
      <c r="J12" s="15"/>
      <c r="K12" s="8" t="s">
        <v>1011</v>
      </c>
    </row>
    <row r="13" customFormat="false" ht="15" hidden="false" customHeight="false" outlineLevel="0" collapsed="false">
      <c r="A13" s="9" t="n">
        <v>12</v>
      </c>
      <c r="B13" s="8" t="s">
        <v>1007</v>
      </c>
      <c r="C13" s="9" t="s">
        <v>1018</v>
      </c>
      <c r="D13" s="11" t="s">
        <v>1019</v>
      </c>
      <c r="E13" s="11" t="s">
        <v>1020</v>
      </c>
      <c r="F13" s="11" t="s">
        <v>987</v>
      </c>
      <c r="G13" s="17"/>
      <c r="H13" s="18"/>
      <c r="I13" s="15"/>
      <c r="J13" s="15"/>
      <c r="K13" s="8" t="s">
        <v>1011</v>
      </c>
    </row>
    <row r="14" customFormat="false" ht="15" hidden="false" customHeight="false" outlineLevel="0" collapsed="false">
      <c r="A14" s="9" t="n">
        <v>13</v>
      </c>
      <c r="B14" s="8" t="s">
        <v>1021</v>
      </c>
      <c r="C14" s="9" t="s">
        <v>1022</v>
      </c>
      <c r="D14" s="8" t="s">
        <v>1009</v>
      </c>
      <c r="E14" s="8" t="s">
        <v>1023</v>
      </c>
      <c r="F14" s="11" t="s">
        <v>987</v>
      </c>
      <c r="G14" s="17"/>
      <c r="H14" s="18"/>
      <c r="I14" s="15"/>
      <c r="J14" s="15"/>
      <c r="K14" s="11" t="s">
        <v>402</v>
      </c>
    </row>
    <row r="15" customFormat="false" ht="15" hidden="false" customHeight="false" outlineLevel="0" collapsed="false">
      <c r="A15" s="9" t="n">
        <v>14</v>
      </c>
      <c r="B15" s="8" t="s">
        <v>1021</v>
      </c>
      <c r="C15" s="9" t="s">
        <v>1024</v>
      </c>
      <c r="D15" s="11" t="s">
        <v>1025</v>
      </c>
      <c r="E15" s="11" t="s">
        <v>1026</v>
      </c>
      <c r="F15" s="11" t="s">
        <v>987</v>
      </c>
      <c r="G15" s="17"/>
      <c r="H15" s="18"/>
      <c r="I15" s="15"/>
      <c r="J15" s="15"/>
      <c r="K15" s="11" t="s">
        <v>402</v>
      </c>
    </row>
    <row r="16" customFormat="false" ht="15" hidden="false" customHeight="false" outlineLevel="0" collapsed="false">
      <c r="A16" s="9" t="n">
        <v>15</v>
      </c>
      <c r="B16" s="8" t="s">
        <v>1027</v>
      </c>
      <c r="C16" s="9" t="s">
        <v>1028</v>
      </c>
      <c r="D16" s="11" t="s">
        <v>1029</v>
      </c>
      <c r="E16" s="11" t="s">
        <v>1030</v>
      </c>
      <c r="F16" s="11" t="s">
        <v>987</v>
      </c>
      <c r="G16" s="17"/>
      <c r="H16" s="18"/>
      <c r="I16" s="15"/>
      <c r="J16" s="15"/>
      <c r="K16" s="11" t="s">
        <v>1031</v>
      </c>
    </row>
    <row r="17" customFormat="false" ht="15" hidden="false" customHeight="false" outlineLevel="0" collapsed="false">
      <c r="A17" s="9" t="n">
        <v>16</v>
      </c>
      <c r="B17" s="8" t="s">
        <v>1027</v>
      </c>
      <c r="C17" s="9" t="s">
        <v>1032</v>
      </c>
      <c r="D17" s="8" t="s">
        <v>1033</v>
      </c>
      <c r="E17" s="11" t="s">
        <v>1034</v>
      </c>
      <c r="F17" s="11" t="s">
        <v>987</v>
      </c>
      <c r="G17" s="17"/>
      <c r="H17" s="18"/>
      <c r="I17" s="15"/>
      <c r="J17" s="15"/>
      <c r="K17" s="11" t="s">
        <v>1031</v>
      </c>
    </row>
    <row r="18" customFormat="false" ht="15" hidden="false" customHeight="false" outlineLevel="0" collapsed="false">
      <c r="A18" s="9" t="n">
        <v>17</v>
      </c>
      <c r="B18" s="8" t="s">
        <v>1027</v>
      </c>
      <c r="C18" s="9" t="s">
        <v>1035</v>
      </c>
      <c r="D18" s="11" t="s">
        <v>1036</v>
      </c>
      <c r="E18" s="11" t="s">
        <v>1037</v>
      </c>
      <c r="F18" s="11" t="s">
        <v>987</v>
      </c>
      <c r="G18" s="17"/>
      <c r="H18" s="18"/>
      <c r="I18" s="15"/>
      <c r="J18" s="15"/>
      <c r="K18" s="11" t="s">
        <v>1031</v>
      </c>
    </row>
    <row r="19" customFormat="false" ht="15" hidden="false" customHeight="false" outlineLevel="0" collapsed="false">
      <c r="A19" s="9" t="n">
        <v>18</v>
      </c>
      <c r="B19" s="8" t="s">
        <v>1027</v>
      </c>
      <c r="C19" s="9" t="s">
        <v>1038</v>
      </c>
      <c r="D19" s="8" t="s">
        <v>1039</v>
      </c>
      <c r="E19" s="11" t="s">
        <v>1040</v>
      </c>
      <c r="F19" s="11" t="s">
        <v>987</v>
      </c>
      <c r="G19" s="17"/>
      <c r="H19" s="18"/>
      <c r="I19" s="15"/>
      <c r="J19" s="15"/>
      <c r="K19" s="11" t="s">
        <v>1031</v>
      </c>
    </row>
    <row r="20" customFormat="false" ht="15" hidden="false" customHeight="false" outlineLevel="0" collapsed="false">
      <c r="A20" s="9" t="n">
        <v>19</v>
      </c>
      <c r="B20" s="8" t="s">
        <v>1041</v>
      </c>
      <c r="C20" s="9" t="s">
        <v>1042</v>
      </c>
      <c r="D20" s="8" t="s">
        <v>1043</v>
      </c>
      <c r="E20" s="11" t="s">
        <v>1044</v>
      </c>
      <c r="F20" s="11" t="s">
        <v>987</v>
      </c>
      <c r="G20" s="17"/>
      <c r="H20" s="18"/>
      <c r="I20" s="15"/>
      <c r="J20" s="15"/>
      <c r="K20" s="11" t="s">
        <v>402</v>
      </c>
    </row>
    <row r="21" customFormat="false" ht="15" hidden="false" customHeight="false" outlineLevel="0" collapsed="false">
      <c r="A21" s="9" t="n">
        <v>20</v>
      </c>
      <c r="B21" s="8" t="s">
        <v>1041</v>
      </c>
      <c r="C21" s="9" t="s">
        <v>1045</v>
      </c>
      <c r="D21" s="8" t="s">
        <v>1046</v>
      </c>
      <c r="E21" s="8" t="s">
        <v>1047</v>
      </c>
      <c r="F21" s="11" t="s">
        <v>987</v>
      </c>
      <c r="G21" s="17"/>
      <c r="H21" s="18"/>
      <c r="I21" s="15"/>
      <c r="J21" s="15"/>
      <c r="K21" s="11" t="s">
        <v>402</v>
      </c>
    </row>
    <row r="22" customFormat="false" ht="15" hidden="false" customHeight="false" outlineLevel="0" collapsed="false">
      <c r="A22" s="9" t="n">
        <v>21</v>
      </c>
      <c r="B22" s="8" t="s">
        <v>1041</v>
      </c>
      <c r="C22" s="9" t="s">
        <v>1048</v>
      </c>
      <c r="D22" s="11" t="s">
        <v>1049</v>
      </c>
      <c r="E22" s="11" t="s">
        <v>1050</v>
      </c>
      <c r="F22" s="11" t="s">
        <v>987</v>
      </c>
      <c r="G22" s="17"/>
      <c r="H22" s="18"/>
      <c r="I22" s="15"/>
      <c r="J22" s="15"/>
      <c r="K22" s="11" t="s">
        <v>402</v>
      </c>
    </row>
    <row r="23" customFormat="false" ht="15" hidden="false" customHeight="false" outlineLevel="0" collapsed="false">
      <c r="A23" s="9" t="n">
        <v>22</v>
      </c>
      <c r="B23" s="8" t="s">
        <v>1041</v>
      </c>
      <c r="C23" s="9" t="s">
        <v>1051</v>
      </c>
      <c r="D23" s="8" t="s">
        <v>1052</v>
      </c>
      <c r="E23" s="8" t="s">
        <v>1053</v>
      </c>
      <c r="F23" s="11" t="s">
        <v>987</v>
      </c>
      <c r="G23" s="17"/>
      <c r="H23" s="18"/>
      <c r="I23" s="15"/>
      <c r="J23" s="15"/>
      <c r="K23" s="11" t="s">
        <v>402</v>
      </c>
    </row>
    <row r="24" customFormat="false" ht="15" hidden="false" customHeight="false" outlineLevel="0" collapsed="false">
      <c r="A24" s="9" t="n">
        <v>23</v>
      </c>
      <c r="B24" s="8" t="s">
        <v>1041</v>
      </c>
      <c r="C24" s="9" t="s">
        <v>1054</v>
      </c>
      <c r="D24" s="11" t="s">
        <v>1055</v>
      </c>
      <c r="E24" s="11" t="s">
        <v>1055</v>
      </c>
      <c r="F24" s="11" t="s">
        <v>987</v>
      </c>
      <c r="G24" s="17"/>
      <c r="H24" s="18"/>
      <c r="I24" s="15"/>
      <c r="J24" s="15"/>
      <c r="K24" s="11" t="s">
        <v>402</v>
      </c>
    </row>
    <row r="25" customFormat="false" ht="15" hidden="false" customHeight="false" outlineLevel="0" collapsed="false">
      <c r="A25" s="9" t="n">
        <v>24</v>
      </c>
      <c r="B25" s="8" t="s">
        <v>1041</v>
      </c>
      <c r="C25" s="9" t="s">
        <v>1056</v>
      </c>
      <c r="D25" s="8" t="s">
        <v>1057</v>
      </c>
      <c r="E25" s="8" t="s">
        <v>1058</v>
      </c>
      <c r="F25" s="11" t="s">
        <v>987</v>
      </c>
      <c r="G25" s="17"/>
      <c r="H25" s="18"/>
      <c r="I25" s="15"/>
      <c r="J25" s="15"/>
      <c r="K25" s="11" t="s">
        <v>402</v>
      </c>
    </row>
    <row r="26" customFormat="false" ht="15" hidden="false" customHeight="false" outlineLevel="0" collapsed="false">
      <c r="A26" s="9" t="n">
        <v>25</v>
      </c>
      <c r="B26" s="8" t="s">
        <v>1041</v>
      </c>
      <c r="C26" s="9" t="s">
        <v>1059</v>
      </c>
      <c r="D26" s="8" t="s">
        <v>1060</v>
      </c>
      <c r="E26" s="8" t="s">
        <v>1061</v>
      </c>
      <c r="F26" s="11" t="s">
        <v>987</v>
      </c>
      <c r="G26" s="17"/>
      <c r="H26" s="18"/>
      <c r="I26" s="15"/>
      <c r="J26" s="15"/>
      <c r="K26" s="11" t="s">
        <v>402</v>
      </c>
    </row>
    <row r="27" customFormat="false" ht="15" hidden="false" customHeight="false" outlineLevel="0" collapsed="false">
      <c r="A27" s="9" t="n">
        <v>26</v>
      </c>
      <c r="B27" s="8" t="s">
        <v>1041</v>
      </c>
      <c r="C27" s="9" t="s">
        <v>1062</v>
      </c>
      <c r="D27" s="11" t="s">
        <v>1063</v>
      </c>
      <c r="E27" s="11" t="s">
        <v>1063</v>
      </c>
      <c r="F27" s="11" t="s">
        <v>987</v>
      </c>
      <c r="G27" s="17"/>
      <c r="H27" s="18"/>
      <c r="I27" s="15"/>
      <c r="J27" s="15"/>
      <c r="K27" s="11" t="s">
        <v>402</v>
      </c>
    </row>
    <row r="28" customFormat="false" ht="15" hidden="false" customHeight="false" outlineLevel="0" collapsed="false">
      <c r="A28" s="9" t="n">
        <v>27</v>
      </c>
      <c r="B28" s="8" t="s">
        <v>1064</v>
      </c>
      <c r="C28" s="9" t="s">
        <v>1065</v>
      </c>
      <c r="D28" s="11" t="s">
        <v>1066</v>
      </c>
      <c r="E28" s="11" t="s">
        <v>1067</v>
      </c>
      <c r="F28" s="11" t="s">
        <v>987</v>
      </c>
      <c r="G28" s="17"/>
      <c r="H28" s="18"/>
      <c r="I28" s="15"/>
      <c r="J28" s="15"/>
      <c r="K28" s="11" t="s">
        <v>402</v>
      </c>
    </row>
    <row r="29" customFormat="false" ht="15" hidden="false" customHeight="false" outlineLevel="0" collapsed="false">
      <c r="A29" s="9" t="n">
        <v>28</v>
      </c>
      <c r="B29" s="8" t="s">
        <v>1064</v>
      </c>
      <c r="C29" s="9" t="s">
        <v>1068</v>
      </c>
      <c r="D29" s="8" t="s">
        <v>1069</v>
      </c>
      <c r="E29" s="11" t="s">
        <v>1070</v>
      </c>
      <c r="F29" s="11" t="s">
        <v>987</v>
      </c>
      <c r="G29" s="17"/>
      <c r="H29" s="18"/>
      <c r="I29" s="15"/>
      <c r="J29" s="15"/>
      <c r="K29" s="11" t="s">
        <v>402</v>
      </c>
    </row>
    <row r="30" customFormat="false" ht="15" hidden="false" customHeight="false" outlineLevel="0" collapsed="false">
      <c r="A30" s="9" t="n">
        <v>29</v>
      </c>
      <c r="B30" s="8" t="s">
        <v>1064</v>
      </c>
      <c r="C30" s="9" t="s">
        <v>1071</v>
      </c>
      <c r="D30" s="11" t="s">
        <v>1072</v>
      </c>
      <c r="E30" s="11" t="s">
        <v>1073</v>
      </c>
      <c r="F30" s="11" t="s">
        <v>987</v>
      </c>
      <c r="G30" s="17"/>
      <c r="H30" s="18"/>
      <c r="I30" s="15"/>
      <c r="J30" s="15"/>
      <c r="K30" s="11" t="s">
        <v>402</v>
      </c>
    </row>
    <row r="31" customFormat="false" ht="15" hidden="false" customHeight="false" outlineLevel="0" collapsed="false">
      <c r="A31" s="9" t="n">
        <v>30</v>
      </c>
      <c r="B31" s="8" t="s">
        <v>1064</v>
      </c>
      <c r="C31" s="9" t="s">
        <v>1074</v>
      </c>
      <c r="D31" s="8" t="s">
        <v>1075</v>
      </c>
      <c r="E31" s="11" t="s">
        <v>1076</v>
      </c>
      <c r="F31" s="11" t="s">
        <v>987</v>
      </c>
      <c r="G31" s="17"/>
      <c r="H31" s="18"/>
      <c r="I31" s="15"/>
      <c r="J31" s="15"/>
      <c r="K31" s="11" t="s">
        <v>402</v>
      </c>
    </row>
    <row r="32" customFormat="false" ht="15" hidden="false" customHeight="false" outlineLevel="0" collapsed="false">
      <c r="A32" s="9" t="n">
        <v>31</v>
      </c>
      <c r="B32" s="8" t="s">
        <v>1077</v>
      </c>
      <c r="C32" s="9" t="s">
        <v>1078</v>
      </c>
      <c r="D32" s="11" t="s">
        <v>1079</v>
      </c>
      <c r="E32" s="11" t="s">
        <v>1080</v>
      </c>
      <c r="F32" s="11" t="s">
        <v>987</v>
      </c>
      <c r="G32" s="17"/>
      <c r="H32" s="18"/>
      <c r="I32" s="15"/>
      <c r="J32" s="15"/>
      <c r="K32" s="11" t="s">
        <v>402</v>
      </c>
    </row>
    <row r="33" customFormat="false" ht="15" hidden="false" customHeight="false" outlineLevel="0" collapsed="false">
      <c r="A33" s="9" t="n">
        <v>32</v>
      </c>
      <c r="B33" s="8" t="s">
        <v>1077</v>
      </c>
      <c r="C33" s="9" t="s">
        <v>1081</v>
      </c>
      <c r="D33" s="11" t="s">
        <v>1082</v>
      </c>
      <c r="E33" s="11" t="s">
        <v>1083</v>
      </c>
      <c r="F33" s="11" t="s">
        <v>987</v>
      </c>
      <c r="G33" s="17"/>
      <c r="H33" s="18"/>
      <c r="I33" s="15"/>
      <c r="J33" s="15"/>
      <c r="K33" s="11" t="s">
        <v>402</v>
      </c>
    </row>
    <row r="34" customFormat="false" ht="15" hidden="false" customHeight="false" outlineLevel="0" collapsed="false">
      <c r="A34" s="9" t="n">
        <v>33</v>
      </c>
      <c r="B34" s="8" t="s">
        <v>1084</v>
      </c>
      <c r="C34" s="9" t="s">
        <v>1085</v>
      </c>
      <c r="D34" s="8" t="s">
        <v>1009</v>
      </c>
      <c r="E34" s="8" t="s">
        <v>1086</v>
      </c>
      <c r="F34" s="11" t="s">
        <v>987</v>
      </c>
      <c r="G34" s="17"/>
      <c r="H34" s="18"/>
      <c r="I34" s="15"/>
      <c r="J34" s="15"/>
      <c r="K34" s="8" t="s">
        <v>1087</v>
      </c>
    </row>
    <row r="35" customFormat="false" ht="15" hidden="false" customHeight="false" outlineLevel="0" collapsed="false">
      <c r="A35" s="9" t="n">
        <v>34</v>
      </c>
      <c r="B35" s="8" t="s">
        <v>1084</v>
      </c>
      <c r="C35" s="9" t="s">
        <v>1088</v>
      </c>
      <c r="D35" s="11" t="s">
        <v>1089</v>
      </c>
      <c r="E35" s="11" t="s">
        <v>1090</v>
      </c>
      <c r="F35" s="11" t="s">
        <v>987</v>
      </c>
      <c r="G35" s="17"/>
      <c r="H35" s="18"/>
      <c r="I35" s="15"/>
      <c r="J35" s="15"/>
      <c r="K35" s="8" t="s">
        <v>1087</v>
      </c>
    </row>
    <row r="36" customFormat="false" ht="15" hidden="false" customHeight="false" outlineLevel="0" collapsed="false">
      <c r="A36" s="9" t="n">
        <v>35</v>
      </c>
      <c r="B36" s="8" t="s">
        <v>1084</v>
      </c>
      <c r="C36" s="9" t="s">
        <v>1091</v>
      </c>
      <c r="D36" s="8" t="s">
        <v>1092</v>
      </c>
      <c r="E36" s="11" t="s">
        <v>1093</v>
      </c>
      <c r="F36" s="11" t="s">
        <v>987</v>
      </c>
      <c r="G36" s="17"/>
      <c r="H36" s="18"/>
      <c r="I36" s="15"/>
      <c r="J36" s="15"/>
      <c r="K36" s="8" t="s">
        <v>1087</v>
      </c>
    </row>
    <row r="37" customFormat="false" ht="15" hidden="false" customHeight="false" outlineLevel="0" collapsed="false">
      <c r="A37" s="9" t="n">
        <v>36</v>
      </c>
      <c r="B37" s="8" t="s">
        <v>1084</v>
      </c>
      <c r="C37" s="9" t="s">
        <v>1094</v>
      </c>
      <c r="D37" s="11" t="s">
        <v>1095</v>
      </c>
      <c r="E37" s="11" t="s">
        <v>1096</v>
      </c>
      <c r="F37" s="11" t="s">
        <v>987</v>
      </c>
      <c r="G37" s="17"/>
      <c r="H37" s="18"/>
      <c r="I37" s="15"/>
      <c r="J37" s="15"/>
      <c r="K37" s="8" t="s">
        <v>1087</v>
      </c>
    </row>
    <row r="38" customFormat="false" ht="15" hidden="false" customHeight="false" outlineLevel="0" collapsed="false">
      <c r="A38" s="9" t="n">
        <v>37</v>
      </c>
      <c r="B38" s="8" t="s">
        <v>1097</v>
      </c>
      <c r="C38" s="9" t="s">
        <v>1098</v>
      </c>
      <c r="D38" s="11" t="s">
        <v>1099</v>
      </c>
      <c r="E38" s="11" t="s">
        <v>1100</v>
      </c>
      <c r="F38" s="11" t="s">
        <v>987</v>
      </c>
      <c r="G38" s="17"/>
      <c r="H38" s="18"/>
      <c r="I38" s="15"/>
      <c r="J38" s="15"/>
      <c r="K38" s="11" t="s">
        <v>402</v>
      </c>
    </row>
    <row r="39" customFormat="false" ht="15" hidden="false" customHeight="false" outlineLevel="0" collapsed="false">
      <c r="A39" s="9" t="n">
        <v>38</v>
      </c>
      <c r="B39" s="8" t="s">
        <v>1097</v>
      </c>
      <c r="C39" s="9" t="s">
        <v>1101</v>
      </c>
      <c r="D39" s="11" t="s">
        <v>1102</v>
      </c>
      <c r="E39" s="11" t="s">
        <v>1103</v>
      </c>
      <c r="F39" s="11" t="s">
        <v>987</v>
      </c>
      <c r="G39" s="17"/>
      <c r="H39" s="18"/>
      <c r="I39" s="15"/>
      <c r="J39" s="15"/>
      <c r="K39" s="11" t="s">
        <v>402</v>
      </c>
    </row>
    <row r="40" customFormat="false" ht="15" hidden="false" customHeight="false" outlineLevel="0" collapsed="false">
      <c r="A40" s="9" t="n">
        <v>39</v>
      </c>
      <c r="B40" s="8" t="s">
        <v>1097</v>
      </c>
      <c r="C40" s="9" t="s">
        <v>1104</v>
      </c>
      <c r="D40" s="8" t="s">
        <v>1105</v>
      </c>
      <c r="E40" s="8" t="s">
        <v>1105</v>
      </c>
      <c r="F40" s="11" t="s">
        <v>987</v>
      </c>
      <c r="G40" s="17"/>
      <c r="H40" s="18"/>
      <c r="I40" s="15"/>
      <c r="J40" s="15"/>
      <c r="K40" s="11" t="s">
        <v>402</v>
      </c>
    </row>
    <row r="41" customFormat="false" ht="15" hidden="false" customHeight="false" outlineLevel="0" collapsed="false">
      <c r="A41" s="9" t="n">
        <v>40</v>
      </c>
      <c r="B41" s="8" t="s">
        <v>1097</v>
      </c>
      <c r="C41" s="9" t="s">
        <v>1106</v>
      </c>
      <c r="D41" s="11" t="s">
        <v>1107</v>
      </c>
      <c r="E41" s="11" t="s">
        <v>1108</v>
      </c>
      <c r="F41" s="11" t="s">
        <v>987</v>
      </c>
      <c r="G41" s="17"/>
      <c r="H41" s="18"/>
      <c r="I41" s="15"/>
      <c r="J41" s="15"/>
      <c r="K41" s="11" t="s">
        <v>402</v>
      </c>
    </row>
    <row r="42" customFormat="false" ht="15" hidden="false" customHeight="false" outlineLevel="0" collapsed="false">
      <c r="A42" s="9" t="n">
        <v>41</v>
      </c>
      <c r="B42" s="8" t="s">
        <v>1097</v>
      </c>
      <c r="C42" s="9" t="s">
        <v>1109</v>
      </c>
      <c r="D42" s="8" t="s">
        <v>1110</v>
      </c>
      <c r="E42" s="11" t="s">
        <v>1111</v>
      </c>
      <c r="F42" s="11" t="s">
        <v>987</v>
      </c>
      <c r="G42" s="17"/>
      <c r="H42" s="18"/>
      <c r="I42" s="15"/>
      <c r="J42" s="15"/>
      <c r="K42" s="11" t="s">
        <v>402</v>
      </c>
    </row>
    <row r="43" customFormat="false" ht="15" hidden="false" customHeight="false" outlineLevel="0" collapsed="false">
      <c r="A43" s="9" t="n">
        <v>42</v>
      </c>
      <c r="B43" s="8" t="s">
        <v>1097</v>
      </c>
      <c r="C43" s="9" t="s">
        <v>1112</v>
      </c>
      <c r="D43" s="11" t="s">
        <v>1113</v>
      </c>
      <c r="E43" s="11" t="s">
        <v>1113</v>
      </c>
      <c r="F43" s="11" t="s">
        <v>987</v>
      </c>
      <c r="G43" s="17"/>
      <c r="H43" s="18"/>
      <c r="I43" s="15"/>
      <c r="J43" s="15"/>
      <c r="K43" s="11" t="s">
        <v>402</v>
      </c>
    </row>
  </sheetData>
  <autoFilter ref="A1:K43"/>
  <dataValidations count="1">
    <dataValidation allowBlank="true" error="请选择：通过 / 失败 / 阻塞 / 不适用（留空 = 未测）" errorStyle="stop" errorTitle="测试结果" operator="between" showDropDown="false" showErrorMessage="false" showInputMessage="false" sqref="G2:G43" type="list">
      <formula1>"通过,失败,阻塞,不适用"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7" t="s">
        <v>62</v>
      </c>
      <c r="B1" s="7" t="s">
        <v>20</v>
      </c>
      <c r="C1" s="7" t="s">
        <v>21</v>
      </c>
      <c r="D1" s="7" t="s">
        <v>22</v>
      </c>
      <c r="E1" s="7" t="s">
        <v>63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64</v>
      </c>
    </row>
    <row r="2" customFormat="false" ht="15" hidden="false" customHeight="false" outlineLevel="0" collapsed="false">
      <c r="A2" s="9" t="n">
        <v>1</v>
      </c>
      <c r="B2" s="8" t="s">
        <v>1114</v>
      </c>
      <c r="C2" s="9" t="s">
        <v>1115</v>
      </c>
      <c r="D2" s="11" t="s">
        <v>1116</v>
      </c>
      <c r="E2" s="11" t="s">
        <v>1116</v>
      </c>
      <c r="F2" s="11" t="s">
        <v>1117</v>
      </c>
      <c r="G2" s="17"/>
      <c r="H2" s="18"/>
      <c r="I2" s="15"/>
      <c r="J2" s="15"/>
      <c r="K2" s="11" t="s">
        <v>1118</v>
      </c>
    </row>
    <row r="3" customFormat="false" ht="15" hidden="false" customHeight="false" outlineLevel="0" collapsed="false">
      <c r="A3" s="9" t="n">
        <v>2</v>
      </c>
      <c r="B3" s="8" t="s">
        <v>1114</v>
      </c>
      <c r="C3" s="9" t="s">
        <v>1119</v>
      </c>
      <c r="D3" s="11" t="s">
        <v>1120</v>
      </c>
      <c r="E3" s="11" t="s">
        <v>1121</v>
      </c>
      <c r="F3" s="11" t="s">
        <v>1117</v>
      </c>
      <c r="G3" s="17"/>
      <c r="H3" s="18"/>
      <c r="I3" s="15"/>
      <c r="J3" s="15"/>
      <c r="K3" s="8" t="s">
        <v>1122</v>
      </c>
    </row>
    <row r="4" customFormat="false" ht="15" hidden="false" customHeight="false" outlineLevel="0" collapsed="false">
      <c r="A4" s="9" t="n">
        <v>3</v>
      </c>
      <c r="B4" s="8" t="s">
        <v>1114</v>
      </c>
      <c r="C4" s="9" t="s">
        <v>1123</v>
      </c>
      <c r="D4" s="8" t="s">
        <v>1124</v>
      </c>
      <c r="E4" s="11" t="s">
        <v>1125</v>
      </c>
      <c r="F4" s="11" t="s">
        <v>1117</v>
      </c>
      <c r="G4" s="17"/>
      <c r="H4" s="18"/>
      <c r="I4" s="15"/>
      <c r="J4" s="15"/>
      <c r="K4" s="8" t="s">
        <v>1126</v>
      </c>
    </row>
    <row r="5" customFormat="false" ht="15" hidden="false" customHeight="false" outlineLevel="0" collapsed="false">
      <c r="A5" s="9" t="n">
        <v>4</v>
      </c>
      <c r="B5" s="8" t="s">
        <v>1114</v>
      </c>
      <c r="C5" s="9" t="s">
        <v>1127</v>
      </c>
      <c r="D5" s="11" t="s">
        <v>1128</v>
      </c>
      <c r="E5" s="11" t="s">
        <v>1129</v>
      </c>
      <c r="F5" s="11" t="s">
        <v>1117</v>
      </c>
      <c r="G5" s="17"/>
      <c r="H5" s="18"/>
      <c r="I5" s="15"/>
      <c r="J5" s="15"/>
      <c r="K5" s="11" t="s">
        <v>1130</v>
      </c>
    </row>
    <row r="6" customFormat="false" ht="15" hidden="false" customHeight="false" outlineLevel="0" collapsed="false">
      <c r="A6" s="9" t="n">
        <v>5</v>
      </c>
      <c r="B6" s="8" t="s">
        <v>1114</v>
      </c>
      <c r="C6" s="9" t="s">
        <v>1131</v>
      </c>
      <c r="D6" s="11" t="s">
        <v>1132</v>
      </c>
      <c r="E6" s="11" t="s">
        <v>1133</v>
      </c>
      <c r="F6" s="11" t="s">
        <v>1117</v>
      </c>
      <c r="G6" s="17"/>
      <c r="H6" s="18"/>
      <c r="I6" s="15"/>
      <c r="J6" s="15"/>
      <c r="K6" s="11" t="s">
        <v>402</v>
      </c>
    </row>
  </sheetData>
  <autoFilter ref="A1:K6"/>
  <dataValidations count="1">
    <dataValidation allowBlank="true" error="请选择：通过 / 失败 / 阻塞 / 不适用（留空 = 未测）" errorStyle="stop" errorTitle="测试结果" operator="between" showDropDown="false" showErrorMessage="false" showInputMessage="false" sqref="G2:G6" type="list">
      <formula1>"通过,失败,阻塞,不适用"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7" t="s">
        <v>62</v>
      </c>
      <c r="B1" s="7" t="s">
        <v>20</v>
      </c>
      <c r="C1" s="7" t="s">
        <v>21</v>
      </c>
      <c r="D1" s="7" t="s">
        <v>22</v>
      </c>
      <c r="E1" s="7" t="s">
        <v>63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64</v>
      </c>
    </row>
    <row r="2" customFormat="false" ht="15" hidden="false" customHeight="false" outlineLevel="0" collapsed="false">
      <c r="A2" s="9" t="n">
        <v>1</v>
      </c>
      <c r="B2" s="8" t="s">
        <v>1134</v>
      </c>
      <c r="C2" s="9" t="s">
        <v>1135</v>
      </c>
      <c r="D2" s="11" t="s">
        <v>1136</v>
      </c>
      <c r="E2" s="11" t="s">
        <v>1136</v>
      </c>
      <c r="F2" s="11" t="s">
        <v>1137</v>
      </c>
      <c r="G2" s="17"/>
      <c r="H2" s="18"/>
      <c r="I2" s="15"/>
      <c r="J2" s="15"/>
      <c r="K2" s="11" t="s">
        <v>1138</v>
      </c>
    </row>
    <row r="3" customFormat="false" ht="15" hidden="false" customHeight="false" outlineLevel="0" collapsed="false">
      <c r="A3" s="9" t="n">
        <v>2</v>
      </c>
      <c r="B3" s="8" t="s">
        <v>1134</v>
      </c>
      <c r="C3" s="9" t="s">
        <v>1139</v>
      </c>
      <c r="D3" s="11" t="s">
        <v>1140</v>
      </c>
      <c r="E3" s="11" t="s">
        <v>1140</v>
      </c>
      <c r="F3" s="11" t="s">
        <v>1137</v>
      </c>
      <c r="G3" s="17"/>
      <c r="H3" s="18"/>
      <c r="I3" s="15"/>
      <c r="J3" s="15"/>
      <c r="K3" s="11" t="s">
        <v>1138</v>
      </c>
    </row>
    <row r="4" customFormat="false" ht="15" hidden="false" customHeight="false" outlineLevel="0" collapsed="false">
      <c r="A4" s="9" t="n">
        <v>3</v>
      </c>
      <c r="B4" s="8" t="s">
        <v>1134</v>
      </c>
      <c r="C4" s="9" t="s">
        <v>1141</v>
      </c>
      <c r="D4" s="11" t="s">
        <v>1142</v>
      </c>
      <c r="E4" s="11" t="s">
        <v>1142</v>
      </c>
      <c r="F4" s="11" t="s">
        <v>1137</v>
      </c>
      <c r="G4" s="17"/>
      <c r="H4" s="18"/>
      <c r="I4" s="15"/>
      <c r="J4" s="15"/>
      <c r="K4" s="11" t="s">
        <v>1138</v>
      </c>
    </row>
    <row r="5" customFormat="false" ht="15" hidden="false" customHeight="false" outlineLevel="0" collapsed="false">
      <c r="A5" s="9" t="n">
        <v>4</v>
      </c>
      <c r="B5" s="8" t="s">
        <v>1143</v>
      </c>
      <c r="C5" s="9" t="s">
        <v>1144</v>
      </c>
      <c r="D5" s="11" t="s">
        <v>1145</v>
      </c>
      <c r="E5" s="11" t="s">
        <v>1146</v>
      </c>
      <c r="F5" s="11" t="s">
        <v>1137</v>
      </c>
      <c r="G5" s="17"/>
      <c r="H5" s="18"/>
      <c r="I5" s="15"/>
      <c r="J5" s="15"/>
      <c r="K5" s="11" t="s">
        <v>1138</v>
      </c>
    </row>
    <row r="6" customFormat="false" ht="15" hidden="false" customHeight="false" outlineLevel="0" collapsed="false">
      <c r="A6" s="9" t="n">
        <v>5</v>
      </c>
      <c r="B6" s="8" t="s">
        <v>1143</v>
      </c>
      <c r="C6" s="9" t="s">
        <v>1147</v>
      </c>
      <c r="D6" s="11" t="s">
        <v>1148</v>
      </c>
      <c r="E6" s="11" t="s">
        <v>1149</v>
      </c>
      <c r="F6" s="11" t="s">
        <v>1137</v>
      </c>
      <c r="G6" s="17"/>
      <c r="H6" s="18"/>
      <c r="I6" s="15"/>
      <c r="J6" s="15"/>
      <c r="K6" s="11" t="s">
        <v>1138</v>
      </c>
    </row>
    <row r="7" customFormat="false" ht="15" hidden="false" customHeight="false" outlineLevel="0" collapsed="false">
      <c r="A7" s="9" t="n">
        <v>6</v>
      </c>
      <c r="B7" s="8" t="s">
        <v>1143</v>
      </c>
      <c r="C7" s="9" t="s">
        <v>1150</v>
      </c>
      <c r="D7" s="8" t="s">
        <v>1151</v>
      </c>
      <c r="E7" s="8" t="s">
        <v>1152</v>
      </c>
      <c r="F7" s="11" t="s">
        <v>1137</v>
      </c>
      <c r="G7" s="17"/>
      <c r="H7" s="18"/>
      <c r="I7" s="15"/>
      <c r="J7" s="15"/>
      <c r="K7" s="11" t="s">
        <v>1138</v>
      </c>
    </row>
    <row r="8" customFormat="false" ht="15" hidden="false" customHeight="false" outlineLevel="0" collapsed="false">
      <c r="A8" s="9" t="n">
        <v>7</v>
      </c>
      <c r="B8" s="8" t="s">
        <v>1143</v>
      </c>
      <c r="C8" s="9" t="s">
        <v>1153</v>
      </c>
      <c r="D8" s="11" t="s">
        <v>1154</v>
      </c>
      <c r="E8" s="11" t="s">
        <v>1155</v>
      </c>
      <c r="F8" s="11" t="s">
        <v>1137</v>
      </c>
      <c r="G8" s="17"/>
      <c r="H8" s="18"/>
      <c r="I8" s="15"/>
      <c r="J8" s="15"/>
      <c r="K8" s="11" t="s">
        <v>1138</v>
      </c>
    </row>
    <row r="9" customFormat="false" ht="15" hidden="false" customHeight="false" outlineLevel="0" collapsed="false">
      <c r="A9" s="9" t="n">
        <v>8</v>
      </c>
      <c r="B9" s="8" t="s">
        <v>1156</v>
      </c>
      <c r="C9" s="9" t="s">
        <v>1157</v>
      </c>
      <c r="D9" s="11" t="s">
        <v>1158</v>
      </c>
      <c r="E9" s="11" t="s">
        <v>1158</v>
      </c>
      <c r="F9" s="11" t="s">
        <v>1137</v>
      </c>
      <c r="G9" s="17"/>
      <c r="H9" s="18"/>
      <c r="I9" s="15"/>
      <c r="J9" s="15"/>
      <c r="K9" s="11" t="s">
        <v>1138</v>
      </c>
    </row>
    <row r="10" customFormat="false" ht="15" hidden="false" customHeight="false" outlineLevel="0" collapsed="false">
      <c r="A10" s="9" t="n">
        <v>9</v>
      </c>
      <c r="B10" s="8" t="s">
        <v>1156</v>
      </c>
      <c r="C10" s="9" t="s">
        <v>1159</v>
      </c>
      <c r="D10" s="11" t="s">
        <v>1160</v>
      </c>
      <c r="E10" s="11" t="s">
        <v>1160</v>
      </c>
      <c r="F10" s="11" t="s">
        <v>1137</v>
      </c>
      <c r="G10" s="17"/>
      <c r="H10" s="18"/>
      <c r="I10" s="15"/>
      <c r="J10" s="15"/>
      <c r="K10" s="11" t="s">
        <v>1138</v>
      </c>
    </row>
    <row r="11" customFormat="false" ht="15" hidden="false" customHeight="false" outlineLevel="0" collapsed="false">
      <c r="A11" s="9" t="n">
        <v>10</v>
      </c>
      <c r="B11" s="8" t="s">
        <v>1156</v>
      </c>
      <c r="C11" s="9" t="s">
        <v>1161</v>
      </c>
      <c r="D11" s="8" t="s">
        <v>1162</v>
      </c>
      <c r="E11" s="11" t="s">
        <v>1163</v>
      </c>
      <c r="F11" s="11" t="s">
        <v>1137</v>
      </c>
      <c r="G11" s="17"/>
      <c r="H11" s="18"/>
      <c r="I11" s="15"/>
      <c r="J11" s="15"/>
      <c r="K11" s="11" t="s">
        <v>1138</v>
      </c>
    </row>
    <row r="12" customFormat="false" ht="15" hidden="false" customHeight="false" outlineLevel="0" collapsed="false">
      <c r="A12" s="9" t="n">
        <v>11</v>
      </c>
      <c r="B12" s="8" t="s">
        <v>1156</v>
      </c>
      <c r="C12" s="9" t="s">
        <v>1164</v>
      </c>
      <c r="D12" s="11" t="s">
        <v>1165</v>
      </c>
      <c r="E12" s="11" t="s">
        <v>1166</v>
      </c>
      <c r="F12" s="11" t="s">
        <v>1137</v>
      </c>
      <c r="G12" s="17"/>
      <c r="H12" s="18"/>
      <c r="I12" s="15"/>
      <c r="J12" s="15"/>
      <c r="K12" s="11" t="s">
        <v>1138</v>
      </c>
    </row>
    <row r="13" customFormat="false" ht="15" hidden="false" customHeight="false" outlineLevel="0" collapsed="false">
      <c r="A13" s="9" t="n">
        <v>12</v>
      </c>
      <c r="B13" s="8" t="s">
        <v>1167</v>
      </c>
      <c r="C13" s="9" t="s">
        <v>1168</v>
      </c>
      <c r="D13" s="11" t="s">
        <v>1169</v>
      </c>
      <c r="E13" s="11" t="s">
        <v>1169</v>
      </c>
      <c r="F13" s="11" t="s">
        <v>1137</v>
      </c>
      <c r="G13" s="17"/>
      <c r="H13" s="18"/>
      <c r="I13" s="15"/>
      <c r="J13" s="15"/>
      <c r="K13" s="11" t="s">
        <v>1138</v>
      </c>
    </row>
    <row r="14" customFormat="false" ht="15" hidden="false" customHeight="false" outlineLevel="0" collapsed="false">
      <c r="A14" s="9" t="n">
        <v>13</v>
      </c>
      <c r="B14" s="8" t="s">
        <v>1167</v>
      </c>
      <c r="C14" s="9" t="s">
        <v>1170</v>
      </c>
      <c r="D14" s="11" t="s">
        <v>1171</v>
      </c>
      <c r="E14" s="11" t="s">
        <v>1171</v>
      </c>
      <c r="F14" s="11" t="s">
        <v>1137</v>
      </c>
      <c r="G14" s="17"/>
      <c r="H14" s="18"/>
      <c r="I14" s="15"/>
      <c r="J14" s="15"/>
      <c r="K14" s="11" t="s">
        <v>1138</v>
      </c>
    </row>
    <row r="15" customFormat="false" ht="15" hidden="false" customHeight="false" outlineLevel="0" collapsed="false">
      <c r="A15" s="9" t="n">
        <v>14</v>
      </c>
      <c r="B15" s="8" t="s">
        <v>1167</v>
      </c>
      <c r="C15" s="9" t="s">
        <v>1172</v>
      </c>
      <c r="D15" s="8" t="s">
        <v>1173</v>
      </c>
      <c r="E15" s="11" t="s">
        <v>1174</v>
      </c>
      <c r="F15" s="11" t="s">
        <v>1137</v>
      </c>
      <c r="G15" s="17"/>
      <c r="H15" s="18"/>
      <c r="I15" s="15"/>
      <c r="J15" s="15"/>
      <c r="K15" s="11" t="s">
        <v>1138</v>
      </c>
    </row>
    <row r="16" customFormat="false" ht="15" hidden="false" customHeight="false" outlineLevel="0" collapsed="false">
      <c r="A16" s="9" t="n">
        <v>15</v>
      </c>
      <c r="B16" s="8" t="s">
        <v>1167</v>
      </c>
      <c r="C16" s="9" t="s">
        <v>1175</v>
      </c>
      <c r="D16" s="11" t="s">
        <v>1176</v>
      </c>
      <c r="E16" s="11" t="s">
        <v>1177</v>
      </c>
      <c r="F16" s="11" t="s">
        <v>1137</v>
      </c>
      <c r="G16" s="17"/>
      <c r="H16" s="18"/>
      <c r="I16" s="15"/>
      <c r="J16" s="15"/>
      <c r="K16" s="11" t="s">
        <v>1138</v>
      </c>
    </row>
    <row r="17" customFormat="false" ht="15" hidden="false" customHeight="false" outlineLevel="0" collapsed="false">
      <c r="A17" s="9" t="n">
        <v>16</v>
      </c>
      <c r="B17" s="8" t="s">
        <v>1167</v>
      </c>
      <c r="C17" s="9" t="s">
        <v>1178</v>
      </c>
      <c r="D17" s="11" t="s">
        <v>1179</v>
      </c>
      <c r="E17" s="11" t="s">
        <v>1180</v>
      </c>
      <c r="F17" s="11" t="s">
        <v>1137</v>
      </c>
      <c r="G17" s="17"/>
      <c r="H17" s="18"/>
      <c r="I17" s="15"/>
      <c r="J17" s="15"/>
      <c r="K17" s="11" t="s">
        <v>1138</v>
      </c>
    </row>
    <row r="18" customFormat="false" ht="15" hidden="false" customHeight="false" outlineLevel="0" collapsed="false">
      <c r="A18" s="9" t="n">
        <v>17</v>
      </c>
      <c r="B18" s="8" t="s">
        <v>1181</v>
      </c>
      <c r="C18" s="9" t="s">
        <v>1182</v>
      </c>
      <c r="D18" s="11" t="s">
        <v>1183</v>
      </c>
      <c r="E18" s="11" t="s">
        <v>1184</v>
      </c>
      <c r="F18" s="11" t="s">
        <v>1137</v>
      </c>
      <c r="G18" s="17"/>
      <c r="H18" s="18"/>
      <c r="I18" s="15"/>
      <c r="J18" s="15"/>
      <c r="K18" s="11" t="s">
        <v>1138</v>
      </c>
    </row>
    <row r="19" customFormat="false" ht="15" hidden="false" customHeight="false" outlineLevel="0" collapsed="false">
      <c r="A19" s="9" t="n">
        <v>18</v>
      </c>
      <c r="B19" s="8" t="s">
        <v>1181</v>
      </c>
      <c r="C19" s="9" t="s">
        <v>1185</v>
      </c>
      <c r="D19" s="11" t="s">
        <v>1186</v>
      </c>
      <c r="E19" s="11" t="s">
        <v>1187</v>
      </c>
      <c r="F19" s="11" t="s">
        <v>1137</v>
      </c>
      <c r="G19" s="17"/>
      <c r="H19" s="18"/>
      <c r="I19" s="15"/>
      <c r="J19" s="15"/>
      <c r="K19" s="11" t="s">
        <v>1138</v>
      </c>
    </row>
    <row r="20" customFormat="false" ht="15" hidden="false" customHeight="false" outlineLevel="0" collapsed="false">
      <c r="A20" s="9" t="n">
        <v>19</v>
      </c>
      <c r="B20" s="8" t="s">
        <v>1181</v>
      </c>
      <c r="C20" s="9" t="s">
        <v>1188</v>
      </c>
      <c r="D20" s="11" t="s">
        <v>1189</v>
      </c>
      <c r="E20" s="11" t="s">
        <v>1190</v>
      </c>
      <c r="F20" s="11" t="s">
        <v>1137</v>
      </c>
      <c r="G20" s="17"/>
      <c r="H20" s="18"/>
      <c r="I20" s="15"/>
      <c r="J20" s="15"/>
      <c r="K20" s="11" t="s">
        <v>1138</v>
      </c>
    </row>
    <row r="21" customFormat="false" ht="15" hidden="false" customHeight="false" outlineLevel="0" collapsed="false">
      <c r="A21" s="9" t="n">
        <v>20</v>
      </c>
      <c r="B21" s="8" t="s">
        <v>1181</v>
      </c>
      <c r="C21" s="9" t="s">
        <v>1191</v>
      </c>
      <c r="D21" s="11" t="s">
        <v>1192</v>
      </c>
      <c r="E21" s="11" t="s">
        <v>1193</v>
      </c>
      <c r="F21" s="11" t="s">
        <v>1137</v>
      </c>
      <c r="G21" s="17"/>
      <c r="H21" s="18"/>
      <c r="I21" s="15"/>
      <c r="J21" s="15"/>
      <c r="K21" s="11" t="s">
        <v>1138</v>
      </c>
    </row>
    <row r="22" customFormat="false" ht="15" hidden="false" customHeight="false" outlineLevel="0" collapsed="false">
      <c r="A22" s="9" t="n">
        <v>21</v>
      </c>
      <c r="B22" s="8" t="s">
        <v>1181</v>
      </c>
      <c r="C22" s="9" t="s">
        <v>1194</v>
      </c>
      <c r="D22" s="11" t="s">
        <v>1195</v>
      </c>
      <c r="E22" s="11" t="s">
        <v>1196</v>
      </c>
      <c r="F22" s="11" t="s">
        <v>1137</v>
      </c>
      <c r="G22" s="17"/>
      <c r="H22" s="18"/>
      <c r="I22" s="15"/>
      <c r="J22" s="15"/>
      <c r="K22" s="11" t="s">
        <v>1138</v>
      </c>
    </row>
    <row r="23" customFormat="false" ht="15" hidden="false" customHeight="false" outlineLevel="0" collapsed="false">
      <c r="A23" s="9" t="n">
        <v>22</v>
      </c>
      <c r="B23" s="8" t="s">
        <v>1197</v>
      </c>
      <c r="C23" s="9" t="s">
        <v>1198</v>
      </c>
      <c r="D23" s="11" t="s">
        <v>1199</v>
      </c>
      <c r="E23" s="11" t="s">
        <v>1200</v>
      </c>
      <c r="F23" s="11" t="s">
        <v>1137</v>
      </c>
      <c r="G23" s="17"/>
      <c r="H23" s="18"/>
      <c r="I23" s="15"/>
      <c r="J23" s="15"/>
      <c r="K23" s="11" t="s">
        <v>1138</v>
      </c>
    </row>
    <row r="24" customFormat="false" ht="15" hidden="false" customHeight="false" outlineLevel="0" collapsed="false">
      <c r="A24" s="9" t="n">
        <v>23</v>
      </c>
      <c r="B24" s="8" t="s">
        <v>1197</v>
      </c>
      <c r="C24" s="9" t="s">
        <v>1201</v>
      </c>
      <c r="D24" s="11" t="s">
        <v>1199</v>
      </c>
      <c r="E24" s="11" t="s">
        <v>1202</v>
      </c>
      <c r="F24" s="11" t="s">
        <v>1137</v>
      </c>
      <c r="G24" s="17"/>
      <c r="H24" s="18"/>
      <c r="I24" s="15"/>
      <c r="J24" s="15"/>
      <c r="K24" s="11" t="s">
        <v>1138</v>
      </c>
    </row>
    <row r="25" customFormat="false" ht="15" hidden="false" customHeight="false" outlineLevel="0" collapsed="false">
      <c r="A25" s="9" t="n">
        <v>24</v>
      </c>
      <c r="B25" s="8" t="s">
        <v>1197</v>
      </c>
      <c r="C25" s="9" t="s">
        <v>1203</v>
      </c>
      <c r="D25" s="11" t="s">
        <v>1204</v>
      </c>
      <c r="E25" s="11" t="s">
        <v>1205</v>
      </c>
      <c r="F25" s="11" t="s">
        <v>1137</v>
      </c>
      <c r="G25" s="17"/>
      <c r="H25" s="18"/>
      <c r="I25" s="15"/>
      <c r="J25" s="15"/>
      <c r="K25" s="11" t="s">
        <v>1138</v>
      </c>
    </row>
    <row r="26" customFormat="false" ht="15" hidden="false" customHeight="false" outlineLevel="0" collapsed="false">
      <c r="A26" s="9" t="n">
        <v>25</v>
      </c>
      <c r="B26" s="8" t="s">
        <v>1206</v>
      </c>
      <c r="C26" s="9" t="s">
        <v>1207</v>
      </c>
      <c r="D26" s="11" t="s">
        <v>1208</v>
      </c>
      <c r="E26" s="11" t="s">
        <v>1209</v>
      </c>
      <c r="F26" s="11" t="s">
        <v>1137</v>
      </c>
      <c r="G26" s="17"/>
      <c r="H26" s="18"/>
      <c r="I26" s="15"/>
      <c r="J26" s="15"/>
      <c r="K26" s="11" t="s">
        <v>1138</v>
      </c>
    </row>
    <row r="27" customFormat="false" ht="15" hidden="false" customHeight="false" outlineLevel="0" collapsed="false">
      <c r="A27" s="9" t="n">
        <v>26</v>
      </c>
      <c r="B27" s="8" t="s">
        <v>1206</v>
      </c>
      <c r="C27" s="9" t="s">
        <v>1210</v>
      </c>
      <c r="D27" s="11" t="s">
        <v>1211</v>
      </c>
      <c r="E27" s="11" t="s">
        <v>1212</v>
      </c>
      <c r="F27" s="11" t="s">
        <v>1137</v>
      </c>
      <c r="G27" s="17"/>
      <c r="H27" s="18"/>
      <c r="I27" s="15"/>
      <c r="J27" s="15"/>
      <c r="K27" s="11" t="s">
        <v>1213</v>
      </c>
    </row>
  </sheetData>
  <autoFilter ref="A1:K27"/>
  <dataValidations count="1">
    <dataValidation allowBlank="true" error="请选择：通过 / 失败 / 阻塞 / 不适用（留空 = 未测）" errorStyle="stop" errorTitle="测试结果" operator="between" showDropDown="false" showErrorMessage="false" showInputMessage="false" sqref="G2:G27" type="list">
      <formula1>"通过,失败,阻塞,不适用"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7" t="s">
        <v>62</v>
      </c>
      <c r="B1" s="7" t="s">
        <v>20</v>
      </c>
      <c r="C1" s="7" t="s">
        <v>21</v>
      </c>
      <c r="D1" s="7" t="s">
        <v>22</v>
      </c>
      <c r="E1" s="7" t="s">
        <v>63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64</v>
      </c>
    </row>
    <row r="2" customFormat="false" ht="15" hidden="false" customHeight="false" outlineLevel="0" collapsed="false">
      <c r="A2" s="9" t="n">
        <v>1</v>
      </c>
      <c r="B2" s="8" t="s">
        <v>1214</v>
      </c>
      <c r="C2" s="9" t="s">
        <v>1215</v>
      </c>
      <c r="D2" s="11" t="s">
        <v>1216</v>
      </c>
      <c r="E2" s="11" t="s">
        <v>1216</v>
      </c>
      <c r="F2" s="11" t="s">
        <v>1217</v>
      </c>
      <c r="G2" s="17"/>
      <c r="H2" s="18"/>
      <c r="I2" s="15"/>
      <c r="J2" s="15"/>
      <c r="K2" s="11" t="s">
        <v>1218</v>
      </c>
    </row>
    <row r="3" customFormat="false" ht="15" hidden="false" customHeight="false" outlineLevel="0" collapsed="false">
      <c r="A3" s="9" t="n">
        <v>2</v>
      </c>
      <c r="B3" s="8" t="s">
        <v>1214</v>
      </c>
      <c r="C3" s="9" t="s">
        <v>1219</v>
      </c>
      <c r="D3" s="11" t="s">
        <v>1220</v>
      </c>
      <c r="E3" s="11" t="s">
        <v>1221</v>
      </c>
      <c r="F3" s="11" t="s">
        <v>1217</v>
      </c>
      <c r="G3" s="17"/>
      <c r="H3" s="18"/>
      <c r="I3" s="15"/>
      <c r="J3" s="15"/>
      <c r="K3" s="11" t="s">
        <v>1222</v>
      </c>
    </row>
    <row r="4" customFormat="false" ht="15" hidden="false" customHeight="false" outlineLevel="0" collapsed="false">
      <c r="A4" s="9" t="n">
        <v>3</v>
      </c>
      <c r="B4" s="8" t="s">
        <v>1214</v>
      </c>
      <c r="C4" s="9" t="s">
        <v>1223</v>
      </c>
      <c r="D4" s="11" t="s">
        <v>1224</v>
      </c>
      <c r="E4" s="11" t="s">
        <v>1224</v>
      </c>
      <c r="F4" s="11" t="s">
        <v>1217</v>
      </c>
      <c r="G4" s="17"/>
      <c r="H4" s="18"/>
      <c r="I4" s="15"/>
      <c r="J4" s="15"/>
      <c r="K4" s="11" t="s">
        <v>1222</v>
      </c>
    </row>
    <row r="5" customFormat="false" ht="15" hidden="false" customHeight="false" outlineLevel="0" collapsed="false">
      <c r="A5" s="9" t="n">
        <v>4</v>
      </c>
      <c r="B5" s="8" t="s">
        <v>1225</v>
      </c>
      <c r="C5" s="9" t="s">
        <v>1226</v>
      </c>
      <c r="D5" s="11" t="s">
        <v>1227</v>
      </c>
      <c r="E5" s="11" t="s">
        <v>1228</v>
      </c>
      <c r="F5" s="11" t="s">
        <v>1217</v>
      </c>
      <c r="G5" s="17"/>
      <c r="H5" s="18"/>
      <c r="I5" s="15"/>
      <c r="J5" s="15"/>
      <c r="K5" s="11" t="s">
        <v>1229</v>
      </c>
    </row>
    <row r="6" customFormat="false" ht="15" hidden="false" customHeight="false" outlineLevel="0" collapsed="false">
      <c r="A6" s="9" t="n">
        <v>5</v>
      </c>
      <c r="B6" s="8" t="s">
        <v>1225</v>
      </c>
      <c r="C6" s="9" t="s">
        <v>1230</v>
      </c>
      <c r="D6" s="11" t="s">
        <v>1231</v>
      </c>
      <c r="E6" s="11" t="s">
        <v>1232</v>
      </c>
      <c r="F6" s="11" t="s">
        <v>1217</v>
      </c>
      <c r="G6" s="17"/>
      <c r="H6" s="18"/>
      <c r="I6" s="15"/>
      <c r="J6" s="15"/>
      <c r="K6" s="11" t="s">
        <v>381</v>
      </c>
    </row>
    <row r="7" customFormat="false" ht="15" hidden="false" customHeight="false" outlineLevel="0" collapsed="false">
      <c r="A7" s="9" t="n">
        <v>6</v>
      </c>
      <c r="B7" s="8" t="s">
        <v>1225</v>
      </c>
      <c r="C7" s="9" t="s">
        <v>1233</v>
      </c>
      <c r="D7" s="11" t="s">
        <v>1234</v>
      </c>
      <c r="E7" s="11" t="s">
        <v>1234</v>
      </c>
      <c r="F7" s="11" t="s">
        <v>1217</v>
      </c>
      <c r="G7" s="17"/>
      <c r="H7" s="18"/>
      <c r="I7" s="15"/>
      <c r="J7" s="15"/>
      <c r="K7" s="8" t="s">
        <v>1235</v>
      </c>
    </row>
    <row r="8" customFormat="false" ht="15" hidden="false" customHeight="false" outlineLevel="0" collapsed="false">
      <c r="A8" s="9" t="n">
        <v>7</v>
      </c>
      <c r="B8" s="8" t="s">
        <v>1236</v>
      </c>
      <c r="C8" s="9" t="s">
        <v>1237</v>
      </c>
      <c r="D8" s="11" t="s">
        <v>1238</v>
      </c>
      <c r="E8" s="11" t="s">
        <v>1239</v>
      </c>
      <c r="F8" s="11" t="s">
        <v>1217</v>
      </c>
      <c r="G8" s="17"/>
      <c r="H8" s="18"/>
      <c r="I8" s="15"/>
      <c r="J8" s="15"/>
      <c r="K8" s="11" t="s">
        <v>402</v>
      </c>
    </row>
    <row r="9" customFormat="false" ht="15" hidden="false" customHeight="false" outlineLevel="0" collapsed="false">
      <c r="A9" s="9" t="n">
        <v>8</v>
      </c>
      <c r="B9" s="8" t="s">
        <v>1236</v>
      </c>
      <c r="C9" s="9" t="s">
        <v>1240</v>
      </c>
      <c r="D9" s="11" t="s">
        <v>1241</v>
      </c>
      <c r="E9" s="11" t="s">
        <v>1242</v>
      </c>
      <c r="F9" s="11" t="s">
        <v>1217</v>
      </c>
      <c r="G9" s="17"/>
      <c r="H9" s="18"/>
      <c r="I9" s="15"/>
      <c r="J9" s="15"/>
      <c r="K9" s="11" t="s">
        <v>402</v>
      </c>
    </row>
    <row r="10" customFormat="false" ht="15" hidden="false" customHeight="false" outlineLevel="0" collapsed="false">
      <c r="A10" s="9" t="n">
        <v>9</v>
      </c>
      <c r="B10" s="8" t="s">
        <v>1236</v>
      </c>
      <c r="C10" s="9" t="s">
        <v>1243</v>
      </c>
      <c r="D10" s="11" t="s">
        <v>1244</v>
      </c>
      <c r="E10" s="11" t="s">
        <v>1245</v>
      </c>
      <c r="F10" s="11" t="s">
        <v>1217</v>
      </c>
      <c r="G10" s="17"/>
      <c r="H10" s="18"/>
      <c r="I10" s="15"/>
      <c r="J10" s="15"/>
      <c r="K10" s="11" t="s">
        <v>402</v>
      </c>
    </row>
    <row r="11" customFormat="false" ht="15" hidden="false" customHeight="false" outlineLevel="0" collapsed="false">
      <c r="A11" s="9" t="n">
        <v>10</v>
      </c>
      <c r="B11" s="8" t="s">
        <v>1236</v>
      </c>
      <c r="C11" s="9" t="s">
        <v>1246</v>
      </c>
      <c r="D11" s="8" t="s">
        <v>1247</v>
      </c>
      <c r="E11" s="11" t="s">
        <v>1248</v>
      </c>
      <c r="F11" s="11" t="s">
        <v>1217</v>
      </c>
      <c r="G11" s="17"/>
      <c r="H11" s="18"/>
      <c r="I11" s="15"/>
      <c r="J11" s="15"/>
      <c r="K11" s="11" t="s">
        <v>402</v>
      </c>
    </row>
    <row r="12" customFormat="false" ht="15" hidden="false" customHeight="false" outlineLevel="0" collapsed="false">
      <c r="A12" s="9" t="n">
        <v>11</v>
      </c>
      <c r="B12" s="8" t="s">
        <v>1249</v>
      </c>
      <c r="C12" s="9" t="s">
        <v>1250</v>
      </c>
      <c r="D12" s="11" t="s">
        <v>1251</v>
      </c>
      <c r="E12" s="11" t="s">
        <v>1252</v>
      </c>
      <c r="F12" s="11" t="s">
        <v>1217</v>
      </c>
      <c r="G12" s="17"/>
      <c r="H12" s="18"/>
      <c r="I12" s="15"/>
      <c r="J12" s="15"/>
      <c r="K12" s="11" t="s">
        <v>1253</v>
      </c>
    </row>
    <row r="13" customFormat="false" ht="15" hidden="false" customHeight="false" outlineLevel="0" collapsed="false">
      <c r="A13" s="9" t="n">
        <v>12</v>
      </c>
      <c r="B13" s="8" t="s">
        <v>1249</v>
      </c>
      <c r="C13" s="9" t="s">
        <v>1254</v>
      </c>
      <c r="D13" s="8" t="s">
        <v>1255</v>
      </c>
      <c r="E13" s="11" t="s">
        <v>1256</v>
      </c>
      <c r="F13" s="11" t="s">
        <v>1217</v>
      </c>
      <c r="G13" s="17"/>
      <c r="H13" s="18"/>
      <c r="I13" s="15"/>
      <c r="J13" s="15"/>
      <c r="K13" s="8" t="s">
        <v>1257</v>
      </c>
    </row>
    <row r="14" customFormat="false" ht="15" hidden="false" customHeight="false" outlineLevel="0" collapsed="false">
      <c r="A14" s="9" t="n">
        <v>13</v>
      </c>
      <c r="B14" s="8" t="s">
        <v>1249</v>
      </c>
      <c r="C14" s="9" t="s">
        <v>1258</v>
      </c>
      <c r="D14" s="11" t="s">
        <v>1259</v>
      </c>
      <c r="E14" s="11" t="s">
        <v>1260</v>
      </c>
      <c r="F14" s="11" t="s">
        <v>1217</v>
      </c>
      <c r="G14" s="17"/>
      <c r="H14" s="18"/>
      <c r="I14" s="15"/>
      <c r="J14" s="15"/>
      <c r="K14" s="11" t="s">
        <v>402</v>
      </c>
    </row>
    <row r="15" customFormat="false" ht="15" hidden="false" customHeight="false" outlineLevel="0" collapsed="false">
      <c r="A15" s="9" t="n">
        <v>14</v>
      </c>
      <c r="B15" s="8" t="s">
        <v>1249</v>
      </c>
      <c r="C15" s="9" t="s">
        <v>1261</v>
      </c>
      <c r="D15" s="11" t="s">
        <v>1262</v>
      </c>
      <c r="E15" s="11" t="s">
        <v>1263</v>
      </c>
      <c r="F15" s="11" t="s">
        <v>1217</v>
      </c>
      <c r="G15" s="17"/>
      <c r="H15" s="18"/>
      <c r="I15" s="15"/>
      <c r="J15" s="15"/>
      <c r="K15" s="11" t="s">
        <v>1264</v>
      </c>
    </row>
    <row r="16" customFormat="false" ht="15" hidden="false" customHeight="false" outlineLevel="0" collapsed="false">
      <c r="A16" s="9" t="n">
        <v>15</v>
      </c>
      <c r="B16" s="8" t="s">
        <v>1249</v>
      </c>
      <c r="C16" s="9" t="s">
        <v>1265</v>
      </c>
      <c r="D16" s="11" t="s">
        <v>1266</v>
      </c>
      <c r="E16" s="11" t="s">
        <v>1267</v>
      </c>
      <c r="F16" s="11" t="s">
        <v>1217</v>
      </c>
      <c r="G16" s="17"/>
      <c r="H16" s="18"/>
      <c r="I16" s="15"/>
      <c r="J16" s="15"/>
      <c r="K16" s="8" t="s">
        <v>1268</v>
      </c>
    </row>
    <row r="17" customFormat="false" ht="15" hidden="false" customHeight="false" outlineLevel="0" collapsed="false">
      <c r="A17" s="9" t="n">
        <v>16</v>
      </c>
      <c r="B17" s="8" t="s">
        <v>1249</v>
      </c>
      <c r="C17" s="9" t="s">
        <v>1269</v>
      </c>
      <c r="D17" s="11" t="s">
        <v>1270</v>
      </c>
      <c r="E17" s="11" t="s">
        <v>1271</v>
      </c>
      <c r="F17" s="11" t="s">
        <v>1217</v>
      </c>
      <c r="G17" s="17"/>
      <c r="H17" s="18"/>
      <c r="I17" s="15"/>
      <c r="J17" s="15"/>
      <c r="K17" s="11" t="s">
        <v>402</v>
      </c>
    </row>
    <row r="18" customFormat="false" ht="15" hidden="false" customHeight="false" outlineLevel="0" collapsed="false">
      <c r="A18" s="9" t="n">
        <v>17</v>
      </c>
      <c r="B18" s="8" t="s">
        <v>1272</v>
      </c>
      <c r="C18" s="9" t="s">
        <v>1273</v>
      </c>
      <c r="D18" s="11" t="s">
        <v>1274</v>
      </c>
      <c r="E18" s="11" t="s">
        <v>1275</v>
      </c>
      <c r="F18" s="11" t="s">
        <v>1217</v>
      </c>
      <c r="G18" s="17"/>
      <c r="H18" s="18"/>
      <c r="I18" s="15"/>
      <c r="J18" s="15"/>
      <c r="K18" s="8" t="s">
        <v>1257</v>
      </c>
    </row>
    <row r="19" customFormat="false" ht="15" hidden="false" customHeight="false" outlineLevel="0" collapsed="false">
      <c r="A19" s="9" t="n">
        <v>18</v>
      </c>
      <c r="B19" s="8" t="s">
        <v>1272</v>
      </c>
      <c r="C19" s="9" t="s">
        <v>1276</v>
      </c>
      <c r="D19" s="11" t="s">
        <v>1277</v>
      </c>
      <c r="E19" s="11" t="s">
        <v>1278</v>
      </c>
      <c r="F19" s="11" t="s">
        <v>1217</v>
      </c>
      <c r="G19" s="17"/>
      <c r="H19" s="18"/>
      <c r="I19" s="15"/>
      <c r="J19" s="15"/>
      <c r="K19" s="8" t="s">
        <v>1257</v>
      </c>
    </row>
  </sheetData>
  <autoFilter ref="A1:K19"/>
  <dataValidations count="1">
    <dataValidation allowBlank="true" error="请选择：通过 / 失败 / 阻塞 / 不适用（留空 = 未测）" errorStyle="stop" errorTitle="测试结果" operator="between" showDropDown="false" showErrorMessage="false" showInputMessage="false" sqref="G2:G19" type="list">
      <formula1>"通过,失败,阻塞,不适用"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7" t="s">
        <v>62</v>
      </c>
      <c r="B1" s="7" t="s">
        <v>20</v>
      </c>
      <c r="C1" s="7" t="s">
        <v>21</v>
      </c>
      <c r="D1" s="7" t="s">
        <v>22</v>
      </c>
      <c r="E1" s="7" t="s">
        <v>63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64</v>
      </c>
    </row>
    <row r="2" customFormat="false" ht="15" hidden="false" customHeight="false" outlineLevel="0" collapsed="false">
      <c r="A2" s="9" t="n">
        <v>1</v>
      </c>
      <c r="B2" s="8" t="s">
        <v>1279</v>
      </c>
      <c r="C2" s="9" t="s">
        <v>1280</v>
      </c>
      <c r="D2" s="11" t="s">
        <v>1281</v>
      </c>
      <c r="E2" s="11" t="s">
        <v>1281</v>
      </c>
      <c r="F2" s="11" t="s">
        <v>1282</v>
      </c>
      <c r="G2" s="17"/>
      <c r="H2" s="18"/>
      <c r="I2" s="15"/>
      <c r="J2" s="15"/>
      <c r="K2" s="11" t="s">
        <v>402</v>
      </c>
    </row>
    <row r="3" customFormat="false" ht="15" hidden="false" customHeight="false" outlineLevel="0" collapsed="false">
      <c r="A3" s="9" t="n">
        <v>2</v>
      </c>
      <c r="B3" s="8" t="s">
        <v>1279</v>
      </c>
      <c r="C3" s="9" t="s">
        <v>1283</v>
      </c>
      <c r="D3" s="11" t="s">
        <v>1284</v>
      </c>
      <c r="E3" s="11" t="s">
        <v>1285</v>
      </c>
      <c r="F3" s="11" t="s">
        <v>1282</v>
      </c>
      <c r="G3" s="17"/>
      <c r="H3" s="18"/>
      <c r="I3" s="15"/>
      <c r="J3" s="15"/>
      <c r="K3" s="11" t="s">
        <v>1286</v>
      </c>
    </row>
    <row r="4" customFormat="false" ht="15" hidden="false" customHeight="false" outlineLevel="0" collapsed="false">
      <c r="A4" s="9" t="n">
        <v>3</v>
      </c>
      <c r="B4" s="8" t="s">
        <v>1279</v>
      </c>
      <c r="C4" s="9" t="s">
        <v>1287</v>
      </c>
      <c r="D4" s="11" t="s">
        <v>1288</v>
      </c>
      <c r="E4" s="11" t="s">
        <v>1289</v>
      </c>
      <c r="F4" s="11" t="s">
        <v>1282</v>
      </c>
      <c r="G4" s="17"/>
      <c r="H4" s="18"/>
      <c r="I4" s="15"/>
      <c r="J4" s="15"/>
      <c r="K4" s="11" t="s">
        <v>402</v>
      </c>
    </row>
    <row r="5" customFormat="false" ht="15" hidden="false" customHeight="false" outlineLevel="0" collapsed="false">
      <c r="A5" s="9" t="n">
        <v>4</v>
      </c>
      <c r="B5" s="8" t="s">
        <v>1279</v>
      </c>
      <c r="C5" s="9" t="s">
        <v>1290</v>
      </c>
      <c r="D5" s="11" t="s">
        <v>1291</v>
      </c>
      <c r="E5" s="11" t="s">
        <v>1292</v>
      </c>
      <c r="F5" s="11" t="s">
        <v>1282</v>
      </c>
      <c r="G5" s="17"/>
      <c r="H5" s="18"/>
      <c r="I5" s="15"/>
      <c r="J5" s="15"/>
      <c r="K5" s="11" t="s">
        <v>402</v>
      </c>
    </row>
    <row r="6" customFormat="false" ht="15" hidden="false" customHeight="false" outlineLevel="0" collapsed="false">
      <c r="A6" s="9" t="n">
        <v>5</v>
      </c>
      <c r="B6" s="8" t="s">
        <v>1293</v>
      </c>
      <c r="C6" s="9" t="s">
        <v>1294</v>
      </c>
      <c r="D6" s="8" t="s">
        <v>1295</v>
      </c>
      <c r="E6" s="8" t="s">
        <v>1295</v>
      </c>
      <c r="F6" s="11" t="s">
        <v>1282</v>
      </c>
      <c r="G6" s="17"/>
      <c r="H6" s="18"/>
      <c r="I6" s="15"/>
      <c r="J6" s="15"/>
      <c r="K6" s="11" t="s">
        <v>402</v>
      </c>
    </row>
    <row r="7" customFormat="false" ht="15" hidden="false" customHeight="false" outlineLevel="0" collapsed="false">
      <c r="A7" s="9" t="n">
        <v>6</v>
      </c>
      <c r="B7" s="8" t="s">
        <v>1293</v>
      </c>
      <c r="C7" s="9" t="s">
        <v>1296</v>
      </c>
      <c r="D7" s="11" t="s">
        <v>1297</v>
      </c>
      <c r="E7" s="11" t="s">
        <v>1298</v>
      </c>
      <c r="F7" s="11" t="s">
        <v>1282</v>
      </c>
      <c r="G7" s="17"/>
      <c r="H7" s="18"/>
      <c r="I7" s="15"/>
      <c r="J7" s="15"/>
      <c r="K7" s="11" t="s">
        <v>402</v>
      </c>
    </row>
    <row r="8" customFormat="false" ht="15" hidden="false" customHeight="false" outlineLevel="0" collapsed="false">
      <c r="A8" s="9" t="n">
        <v>7</v>
      </c>
      <c r="B8" s="8" t="s">
        <v>1293</v>
      </c>
      <c r="C8" s="9" t="s">
        <v>1299</v>
      </c>
      <c r="D8" s="11" t="s">
        <v>1300</v>
      </c>
      <c r="E8" s="11" t="s">
        <v>1301</v>
      </c>
      <c r="F8" s="11" t="s">
        <v>1282</v>
      </c>
      <c r="G8" s="17"/>
      <c r="H8" s="18"/>
      <c r="I8" s="15"/>
      <c r="J8" s="15"/>
      <c r="K8" s="11" t="s">
        <v>402</v>
      </c>
    </row>
    <row r="9" customFormat="false" ht="15" hidden="false" customHeight="false" outlineLevel="0" collapsed="false">
      <c r="A9" s="9" t="n">
        <v>8</v>
      </c>
      <c r="B9" s="8" t="s">
        <v>1293</v>
      </c>
      <c r="C9" s="9" t="s">
        <v>1302</v>
      </c>
      <c r="D9" s="11" t="s">
        <v>1303</v>
      </c>
      <c r="E9" s="11" t="s">
        <v>1304</v>
      </c>
      <c r="F9" s="11" t="s">
        <v>1282</v>
      </c>
      <c r="G9" s="17"/>
      <c r="H9" s="18"/>
      <c r="I9" s="15"/>
      <c r="J9" s="15"/>
      <c r="K9" s="8" t="s">
        <v>1305</v>
      </c>
    </row>
    <row r="10" customFormat="false" ht="15" hidden="false" customHeight="false" outlineLevel="0" collapsed="false">
      <c r="A10" s="9" t="n">
        <v>9</v>
      </c>
      <c r="B10" s="8" t="s">
        <v>1306</v>
      </c>
      <c r="C10" s="9" t="s">
        <v>1307</v>
      </c>
      <c r="D10" s="8" t="s">
        <v>1308</v>
      </c>
      <c r="E10" s="8" t="s">
        <v>1309</v>
      </c>
      <c r="F10" s="11" t="s">
        <v>1282</v>
      </c>
      <c r="G10" s="17"/>
      <c r="H10" s="18"/>
      <c r="I10" s="15"/>
      <c r="J10" s="15"/>
      <c r="K10" s="11" t="s">
        <v>402</v>
      </c>
    </row>
    <row r="11" customFormat="false" ht="15" hidden="false" customHeight="false" outlineLevel="0" collapsed="false">
      <c r="A11" s="9" t="n">
        <v>10</v>
      </c>
      <c r="B11" s="8" t="s">
        <v>1306</v>
      </c>
      <c r="C11" s="9" t="s">
        <v>1310</v>
      </c>
      <c r="D11" s="11" t="s">
        <v>1311</v>
      </c>
      <c r="E11" s="11" t="s">
        <v>1312</v>
      </c>
      <c r="F11" s="11" t="s">
        <v>1282</v>
      </c>
      <c r="G11" s="17"/>
      <c r="H11" s="18"/>
      <c r="I11" s="15"/>
      <c r="J11" s="15"/>
      <c r="K11" s="11" t="s">
        <v>402</v>
      </c>
    </row>
    <row r="12" customFormat="false" ht="15" hidden="false" customHeight="false" outlineLevel="0" collapsed="false">
      <c r="A12" s="9" t="n">
        <v>11</v>
      </c>
      <c r="B12" s="8" t="s">
        <v>1313</v>
      </c>
      <c r="C12" s="9" t="s">
        <v>1314</v>
      </c>
      <c r="D12" s="11" t="s">
        <v>1315</v>
      </c>
      <c r="E12" s="11" t="s">
        <v>1316</v>
      </c>
      <c r="F12" s="11" t="s">
        <v>1282</v>
      </c>
      <c r="G12" s="17"/>
      <c r="H12" s="18"/>
      <c r="I12" s="15"/>
      <c r="J12" s="15"/>
      <c r="K12" s="8" t="s">
        <v>829</v>
      </c>
    </row>
    <row r="13" customFormat="false" ht="15" hidden="false" customHeight="false" outlineLevel="0" collapsed="false">
      <c r="A13" s="9" t="n">
        <v>12</v>
      </c>
      <c r="B13" s="8" t="s">
        <v>1313</v>
      </c>
      <c r="C13" s="9" t="s">
        <v>1317</v>
      </c>
      <c r="D13" s="11" t="s">
        <v>1318</v>
      </c>
      <c r="E13" s="11" t="s">
        <v>1319</v>
      </c>
      <c r="F13" s="11" t="s">
        <v>1282</v>
      </c>
      <c r="G13" s="17"/>
      <c r="H13" s="18"/>
      <c r="I13" s="15"/>
      <c r="J13" s="15"/>
      <c r="K13" s="11" t="s">
        <v>402</v>
      </c>
    </row>
    <row r="14" customFormat="false" ht="15" hidden="false" customHeight="false" outlineLevel="0" collapsed="false">
      <c r="A14" s="9" t="n">
        <v>13</v>
      </c>
      <c r="B14" s="8" t="s">
        <v>1313</v>
      </c>
      <c r="C14" s="9" t="s">
        <v>1320</v>
      </c>
      <c r="D14" s="11" t="s">
        <v>1321</v>
      </c>
      <c r="E14" s="11" t="s">
        <v>1322</v>
      </c>
      <c r="F14" s="11" t="s">
        <v>1282</v>
      </c>
      <c r="G14" s="17"/>
      <c r="H14" s="18"/>
      <c r="I14" s="15"/>
      <c r="J14" s="15"/>
      <c r="K14" s="11" t="s">
        <v>1323</v>
      </c>
    </row>
    <row r="15" customFormat="false" ht="15" hidden="false" customHeight="false" outlineLevel="0" collapsed="false">
      <c r="A15" s="9" t="n">
        <v>14</v>
      </c>
      <c r="B15" s="8" t="s">
        <v>1313</v>
      </c>
      <c r="C15" s="9" t="s">
        <v>1324</v>
      </c>
      <c r="D15" s="11" t="s">
        <v>1325</v>
      </c>
      <c r="E15" s="11" t="s">
        <v>1326</v>
      </c>
      <c r="F15" s="11" t="s">
        <v>1282</v>
      </c>
      <c r="G15" s="17"/>
      <c r="H15" s="18"/>
      <c r="I15" s="15"/>
      <c r="J15" s="15"/>
      <c r="K15" s="11" t="s">
        <v>1327</v>
      </c>
    </row>
    <row r="16" customFormat="false" ht="15" hidden="false" customHeight="false" outlineLevel="0" collapsed="false">
      <c r="A16" s="9" t="n">
        <v>15</v>
      </c>
      <c r="B16" s="8" t="s">
        <v>1313</v>
      </c>
      <c r="C16" s="9" t="s">
        <v>1328</v>
      </c>
      <c r="D16" s="11" t="s">
        <v>1329</v>
      </c>
      <c r="E16" s="11" t="s">
        <v>1330</v>
      </c>
      <c r="F16" s="11" t="s">
        <v>1282</v>
      </c>
      <c r="G16" s="17"/>
      <c r="H16" s="18"/>
      <c r="I16" s="15"/>
      <c r="J16" s="15"/>
      <c r="K16" s="11" t="s">
        <v>402</v>
      </c>
    </row>
    <row r="17" customFormat="false" ht="15" hidden="false" customHeight="false" outlineLevel="0" collapsed="false">
      <c r="A17" s="9" t="n">
        <v>16</v>
      </c>
      <c r="B17" s="8" t="s">
        <v>1331</v>
      </c>
      <c r="C17" s="9" t="s">
        <v>1332</v>
      </c>
      <c r="D17" s="11" t="s">
        <v>1333</v>
      </c>
      <c r="E17" s="11" t="s">
        <v>1334</v>
      </c>
      <c r="F17" s="11" t="s">
        <v>1282</v>
      </c>
      <c r="G17" s="17"/>
      <c r="H17" s="18"/>
      <c r="I17" s="15"/>
      <c r="J17" s="15"/>
      <c r="K17" s="11" t="s">
        <v>1335</v>
      </c>
    </row>
    <row r="18" customFormat="false" ht="15" hidden="false" customHeight="false" outlineLevel="0" collapsed="false">
      <c r="A18" s="9" t="n">
        <v>17</v>
      </c>
      <c r="B18" s="8" t="s">
        <v>1331</v>
      </c>
      <c r="C18" s="9" t="s">
        <v>1336</v>
      </c>
      <c r="D18" s="11" t="s">
        <v>1337</v>
      </c>
      <c r="E18" s="11" t="s">
        <v>1338</v>
      </c>
      <c r="F18" s="11" t="s">
        <v>1282</v>
      </c>
      <c r="G18" s="17"/>
      <c r="H18" s="18"/>
      <c r="I18" s="15"/>
      <c r="J18" s="15"/>
      <c r="K18" s="11" t="s">
        <v>1339</v>
      </c>
    </row>
    <row r="19" customFormat="false" ht="15" hidden="false" customHeight="false" outlineLevel="0" collapsed="false">
      <c r="A19" s="9" t="n">
        <v>18</v>
      </c>
      <c r="B19" s="8" t="s">
        <v>1340</v>
      </c>
      <c r="C19" s="9" t="s">
        <v>1341</v>
      </c>
      <c r="D19" s="11" t="s">
        <v>1342</v>
      </c>
      <c r="E19" s="11" t="s">
        <v>1343</v>
      </c>
      <c r="F19" s="11" t="s">
        <v>1282</v>
      </c>
      <c r="G19" s="17"/>
      <c r="H19" s="18"/>
      <c r="I19" s="15"/>
      <c r="J19" s="15"/>
      <c r="K19" s="11" t="s">
        <v>1344</v>
      </c>
    </row>
    <row r="20" customFormat="false" ht="15" hidden="false" customHeight="false" outlineLevel="0" collapsed="false">
      <c r="A20" s="9" t="n">
        <v>19</v>
      </c>
      <c r="B20" s="8" t="s">
        <v>1345</v>
      </c>
      <c r="C20" s="9" t="s">
        <v>1346</v>
      </c>
      <c r="D20" s="11" t="s">
        <v>1347</v>
      </c>
      <c r="E20" s="11" t="s">
        <v>1348</v>
      </c>
      <c r="F20" s="11" t="s">
        <v>1282</v>
      </c>
      <c r="G20" s="17"/>
      <c r="H20" s="18"/>
      <c r="I20" s="15"/>
      <c r="J20" s="15"/>
      <c r="K20" s="11" t="s">
        <v>402</v>
      </c>
    </row>
    <row r="21" customFormat="false" ht="15" hidden="false" customHeight="false" outlineLevel="0" collapsed="false">
      <c r="A21" s="9" t="n">
        <v>20</v>
      </c>
      <c r="B21" s="8" t="s">
        <v>1345</v>
      </c>
      <c r="C21" s="9" t="s">
        <v>1349</v>
      </c>
      <c r="D21" s="11" t="s">
        <v>1350</v>
      </c>
      <c r="E21" s="11" t="s">
        <v>1350</v>
      </c>
      <c r="F21" s="11" t="s">
        <v>1282</v>
      </c>
      <c r="G21" s="17"/>
      <c r="H21" s="18"/>
      <c r="I21" s="15"/>
      <c r="J21" s="15"/>
      <c r="K21" s="11" t="s">
        <v>402</v>
      </c>
    </row>
    <row r="22" customFormat="false" ht="15" hidden="false" customHeight="false" outlineLevel="0" collapsed="false">
      <c r="A22" s="9" t="n">
        <v>21</v>
      </c>
      <c r="B22" s="8" t="s">
        <v>1351</v>
      </c>
      <c r="C22" s="9" t="s">
        <v>1352</v>
      </c>
      <c r="D22" s="11" t="s">
        <v>1353</v>
      </c>
      <c r="E22" s="11" t="s">
        <v>1354</v>
      </c>
      <c r="F22" s="11" t="s">
        <v>1282</v>
      </c>
      <c r="G22" s="17"/>
      <c r="H22" s="18"/>
      <c r="I22" s="15"/>
      <c r="J22" s="15"/>
      <c r="K22" s="11" t="s">
        <v>1355</v>
      </c>
    </row>
    <row r="23" customFormat="false" ht="15" hidden="false" customHeight="false" outlineLevel="0" collapsed="false">
      <c r="A23" s="9" t="n">
        <v>22</v>
      </c>
      <c r="B23" s="8" t="s">
        <v>1351</v>
      </c>
      <c r="C23" s="9" t="s">
        <v>1356</v>
      </c>
      <c r="D23" s="11" t="s">
        <v>1357</v>
      </c>
      <c r="E23" s="11" t="s">
        <v>1358</v>
      </c>
      <c r="F23" s="11" t="s">
        <v>1282</v>
      </c>
      <c r="G23" s="17"/>
      <c r="H23" s="18"/>
      <c r="I23" s="15"/>
      <c r="J23" s="15"/>
      <c r="K23" s="11" t="s">
        <v>402</v>
      </c>
    </row>
    <row r="24" customFormat="false" ht="15" hidden="false" customHeight="false" outlineLevel="0" collapsed="false">
      <c r="A24" s="9" t="n">
        <v>23</v>
      </c>
      <c r="B24" s="8" t="s">
        <v>1351</v>
      </c>
      <c r="C24" s="9" t="s">
        <v>1359</v>
      </c>
      <c r="D24" s="11" t="s">
        <v>1360</v>
      </c>
      <c r="E24" s="11" t="s">
        <v>1361</v>
      </c>
      <c r="F24" s="11" t="s">
        <v>1282</v>
      </c>
      <c r="G24" s="17"/>
      <c r="H24" s="18"/>
      <c r="I24" s="15"/>
      <c r="J24" s="15"/>
      <c r="K24" s="11" t="s">
        <v>402</v>
      </c>
    </row>
  </sheetData>
  <autoFilter ref="A1:K24"/>
  <dataValidations count="1">
    <dataValidation allowBlank="true" error="请选择：通过 / 失败 / 阻塞 / 不适用（留空 = 未测）" errorStyle="stop" errorTitle="测试结果" operator="between" showDropDown="false" showErrorMessage="false" showInputMessage="false" sqref="G2:G24" type="list">
      <formula1>"通过,失败,阻塞,不适用"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7" t="s">
        <v>62</v>
      </c>
      <c r="B1" s="7" t="s">
        <v>20</v>
      </c>
      <c r="C1" s="7" t="s">
        <v>21</v>
      </c>
      <c r="D1" s="7" t="s">
        <v>22</v>
      </c>
      <c r="E1" s="7" t="s">
        <v>63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64</v>
      </c>
    </row>
    <row r="2" customFormat="false" ht="15" hidden="false" customHeight="false" outlineLevel="0" collapsed="false">
      <c r="A2" s="9" t="n">
        <v>1</v>
      </c>
      <c r="B2" s="8" t="s">
        <v>1362</v>
      </c>
      <c r="C2" s="9" t="s">
        <v>1363</v>
      </c>
      <c r="D2" s="11" t="s">
        <v>1364</v>
      </c>
      <c r="E2" s="11" t="s">
        <v>1364</v>
      </c>
      <c r="F2" s="11" t="s">
        <v>1365</v>
      </c>
      <c r="G2" s="17"/>
      <c r="H2" s="18"/>
      <c r="I2" s="15"/>
      <c r="J2" s="15"/>
      <c r="K2" s="11" t="s">
        <v>1366</v>
      </c>
    </row>
    <row r="3" customFormat="false" ht="15" hidden="false" customHeight="false" outlineLevel="0" collapsed="false">
      <c r="A3" s="9" t="n">
        <v>2</v>
      </c>
      <c r="B3" s="8" t="s">
        <v>1362</v>
      </c>
      <c r="C3" s="9" t="s">
        <v>1367</v>
      </c>
      <c r="D3" s="11" t="s">
        <v>1368</v>
      </c>
      <c r="E3" s="11" t="s">
        <v>1368</v>
      </c>
      <c r="F3" s="11" t="s">
        <v>1365</v>
      </c>
      <c r="G3" s="17"/>
      <c r="H3" s="18"/>
      <c r="I3" s="15"/>
      <c r="J3" s="15"/>
      <c r="K3" s="11" t="s">
        <v>1366</v>
      </c>
    </row>
    <row r="4" customFormat="false" ht="15" hidden="false" customHeight="false" outlineLevel="0" collapsed="false">
      <c r="A4" s="9" t="n">
        <v>3</v>
      </c>
      <c r="B4" s="8" t="s">
        <v>1362</v>
      </c>
      <c r="C4" s="9" t="s">
        <v>1369</v>
      </c>
      <c r="D4" s="11" t="s">
        <v>1370</v>
      </c>
      <c r="E4" s="11" t="s">
        <v>1370</v>
      </c>
      <c r="F4" s="11" t="s">
        <v>1365</v>
      </c>
      <c r="G4" s="17"/>
      <c r="H4" s="18"/>
      <c r="I4" s="15"/>
      <c r="J4" s="15"/>
      <c r="K4" s="11" t="s">
        <v>1366</v>
      </c>
    </row>
    <row r="5" customFormat="false" ht="15" hidden="false" customHeight="false" outlineLevel="0" collapsed="false">
      <c r="A5" s="9" t="n">
        <v>4</v>
      </c>
      <c r="B5" s="8" t="s">
        <v>1362</v>
      </c>
      <c r="C5" s="9" t="s">
        <v>1371</v>
      </c>
      <c r="D5" s="11" t="s">
        <v>1372</v>
      </c>
      <c r="E5" s="11" t="s">
        <v>1373</v>
      </c>
      <c r="F5" s="11" t="s">
        <v>1365</v>
      </c>
      <c r="G5" s="17"/>
      <c r="H5" s="18"/>
      <c r="I5" s="15"/>
      <c r="J5" s="15"/>
      <c r="K5" s="11" t="s">
        <v>1366</v>
      </c>
    </row>
    <row r="6" customFormat="false" ht="15" hidden="false" customHeight="false" outlineLevel="0" collapsed="false">
      <c r="A6" s="9" t="n">
        <v>5</v>
      </c>
      <c r="B6" s="8" t="s">
        <v>1362</v>
      </c>
      <c r="C6" s="9" t="s">
        <v>1374</v>
      </c>
      <c r="D6" s="11" t="s">
        <v>1375</v>
      </c>
      <c r="E6" s="11" t="s">
        <v>1376</v>
      </c>
      <c r="F6" s="11" t="s">
        <v>1365</v>
      </c>
      <c r="G6" s="17"/>
      <c r="H6" s="18"/>
      <c r="I6" s="15"/>
      <c r="J6" s="15"/>
      <c r="K6" s="11" t="s">
        <v>1366</v>
      </c>
    </row>
    <row r="7" customFormat="false" ht="15" hidden="false" customHeight="false" outlineLevel="0" collapsed="false">
      <c r="A7" s="9" t="n">
        <v>6</v>
      </c>
      <c r="B7" s="8" t="s">
        <v>1362</v>
      </c>
      <c r="C7" s="9" t="s">
        <v>1377</v>
      </c>
      <c r="D7" s="11" t="s">
        <v>1378</v>
      </c>
      <c r="E7" s="11" t="s">
        <v>1379</v>
      </c>
      <c r="F7" s="11" t="s">
        <v>1365</v>
      </c>
      <c r="G7" s="17"/>
      <c r="H7" s="18"/>
      <c r="I7" s="15"/>
      <c r="J7" s="15"/>
      <c r="K7" s="11" t="s">
        <v>1366</v>
      </c>
    </row>
    <row r="8" customFormat="false" ht="15" hidden="false" customHeight="false" outlineLevel="0" collapsed="false">
      <c r="A8" s="9" t="n">
        <v>7</v>
      </c>
      <c r="B8" s="8" t="s">
        <v>1362</v>
      </c>
      <c r="C8" s="9" t="s">
        <v>1380</v>
      </c>
      <c r="D8" s="11" t="s">
        <v>1381</v>
      </c>
      <c r="E8" s="11" t="s">
        <v>1382</v>
      </c>
      <c r="F8" s="11" t="s">
        <v>1365</v>
      </c>
      <c r="G8" s="17"/>
      <c r="H8" s="18"/>
      <c r="I8" s="15"/>
      <c r="J8" s="15"/>
      <c r="K8" s="11" t="s">
        <v>1366</v>
      </c>
    </row>
    <row r="9" customFormat="false" ht="15" hidden="false" customHeight="false" outlineLevel="0" collapsed="false">
      <c r="A9" s="9" t="n">
        <v>8</v>
      </c>
      <c r="B9" s="8" t="s">
        <v>1362</v>
      </c>
      <c r="C9" s="9" t="s">
        <v>1383</v>
      </c>
      <c r="D9" s="11" t="s">
        <v>1384</v>
      </c>
      <c r="E9" s="11" t="s">
        <v>1385</v>
      </c>
      <c r="F9" s="11" t="s">
        <v>1365</v>
      </c>
      <c r="G9" s="17"/>
      <c r="H9" s="18"/>
      <c r="I9" s="15"/>
      <c r="J9" s="15"/>
      <c r="K9" s="11" t="s">
        <v>1366</v>
      </c>
    </row>
    <row r="10" customFormat="false" ht="15" hidden="false" customHeight="false" outlineLevel="0" collapsed="false">
      <c r="A10" s="9" t="n">
        <v>9</v>
      </c>
      <c r="B10" s="8" t="s">
        <v>1362</v>
      </c>
      <c r="C10" s="9" t="s">
        <v>1386</v>
      </c>
      <c r="D10" s="11" t="s">
        <v>1387</v>
      </c>
      <c r="E10" s="11" t="s">
        <v>1387</v>
      </c>
      <c r="F10" s="11" t="s">
        <v>1365</v>
      </c>
      <c r="G10" s="17"/>
      <c r="H10" s="18"/>
      <c r="I10" s="15"/>
      <c r="J10" s="15"/>
      <c r="K10" s="11" t="s">
        <v>1366</v>
      </c>
    </row>
    <row r="11" customFormat="false" ht="15" hidden="false" customHeight="false" outlineLevel="0" collapsed="false">
      <c r="A11" s="9" t="n">
        <v>10</v>
      </c>
      <c r="B11" s="8" t="s">
        <v>1362</v>
      </c>
      <c r="C11" s="9" t="s">
        <v>1388</v>
      </c>
      <c r="D11" s="11" t="s">
        <v>1389</v>
      </c>
      <c r="E11" s="11" t="s">
        <v>1390</v>
      </c>
      <c r="F11" s="11" t="s">
        <v>1365</v>
      </c>
      <c r="G11" s="17"/>
      <c r="H11" s="18"/>
      <c r="I11" s="15"/>
      <c r="J11" s="15"/>
      <c r="K11" s="11" t="s">
        <v>1366</v>
      </c>
    </row>
    <row r="12" customFormat="false" ht="15" hidden="false" customHeight="false" outlineLevel="0" collapsed="false">
      <c r="A12" s="9" t="n">
        <v>11</v>
      </c>
      <c r="B12" s="8" t="s">
        <v>1362</v>
      </c>
      <c r="C12" s="9" t="s">
        <v>1391</v>
      </c>
      <c r="D12" s="11" t="s">
        <v>1392</v>
      </c>
      <c r="E12" s="11" t="s">
        <v>1393</v>
      </c>
      <c r="F12" s="11" t="s">
        <v>1365</v>
      </c>
      <c r="G12" s="17"/>
      <c r="H12" s="18"/>
      <c r="I12" s="15"/>
      <c r="J12" s="15"/>
      <c r="K12" s="11" t="s">
        <v>1366</v>
      </c>
    </row>
    <row r="13" customFormat="false" ht="15" hidden="false" customHeight="false" outlineLevel="0" collapsed="false">
      <c r="A13" s="9" t="n">
        <v>12</v>
      </c>
      <c r="B13" s="8" t="s">
        <v>1362</v>
      </c>
      <c r="C13" s="9" t="s">
        <v>1394</v>
      </c>
      <c r="D13" s="11" t="s">
        <v>1395</v>
      </c>
      <c r="E13" s="11" t="s">
        <v>1396</v>
      </c>
      <c r="F13" s="11" t="s">
        <v>1365</v>
      </c>
      <c r="G13" s="17"/>
      <c r="H13" s="18"/>
      <c r="I13" s="15"/>
      <c r="J13" s="15"/>
      <c r="K13" s="11" t="s">
        <v>1366</v>
      </c>
    </row>
    <row r="14" customFormat="false" ht="15" hidden="false" customHeight="false" outlineLevel="0" collapsed="false">
      <c r="A14" s="9" t="n">
        <v>13</v>
      </c>
      <c r="B14" s="8" t="s">
        <v>1362</v>
      </c>
      <c r="C14" s="9" t="s">
        <v>1397</v>
      </c>
      <c r="D14" s="11" t="s">
        <v>1398</v>
      </c>
      <c r="E14" s="11" t="s">
        <v>1398</v>
      </c>
      <c r="F14" s="11" t="s">
        <v>1365</v>
      </c>
      <c r="G14" s="17"/>
      <c r="H14" s="18"/>
      <c r="I14" s="15"/>
      <c r="J14" s="15"/>
      <c r="K14" s="11" t="s">
        <v>1366</v>
      </c>
    </row>
    <row r="15" customFormat="false" ht="15" hidden="false" customHeight="false" outlineLevel="0" collapsed="false">
      <c r="A15" s="9" t="n">
        <v>14</v>
      </c>
      <c r="B15" s="8" t="s">
        <v>1362</v>
      </c>
      <c r="C15" s="9" t="s">
        <v>1399</v>
      </c>
      <c r="D15" s="11" t="s">
        <v>1400</v>
      </c>
      <c r="E15" s="11" t="s">
        <v>1400</v>
      </c>
      <c r="F15" s="11" t="s">
        <v>1365</v>
      </c>
      <c r="G15" s="17"/>
      <c r="H15" s="18"/>
      <c r="I15" s="15"/>
      <c r="J15" s="15"/>
      <c r="K15" s="11" t="s">
        <v>1366</v>
      </c>
    </row>
    <row r="16" customFormat="false" ht="15" hidden="false" customHeight="false" outlineLevel="0" collapsed="false">
      <c r="A16" s="9" t="n">
        <v>15</v>
      </c>
      <c r="B16" s="8" t="s">
        <v>1362</v>
      </c>
      <c r="C16" s="9" t="s">
        <v>1401</v>
      </c>
      <c r="D16" s="11" t="s">
        <v>1402</v>
      </c>
      <c r="E16" s="11" t="s">
        <v>1403</v>
      </c>
      <c r="F16" s="11" t="s">
        <v>1365</v>
      </c>
      <c r="G16" s="17"/>
      <c r="H16" s="18"/>
      <c r="I16" s="15"/>
      <c r="J16" s="15"/>
      <c r="K16" s="11" t="s">
        <v>1366</v>
      </c>
    </row>
    <row r="17" customFormat="false" ht="15" hidden="false" customHeight="false" outlineLevel="0" collapsed="false">
      <c r="A17" s="9" t="n">
        <v>16</v>
      </c>
      <c r="B17" s="8" t="s">
        <v>1362</v>
      </c>
      <c r="C17" s="9" t="s">
        <v>1404</v>
      </c>
      <c r="D17" s="8" t="s">
        <v>1405</v>
      </c>
      <c r="E17" s="8" t="s">
        <v>1406</v>
      </c>
      <c r="F17" s="11" t="s">
        <v>1365</v>
      </c>
      <c r="G17" s="17"/>
      <c r="H17" s="18"/>
      <c r="I17" s="15"/>
      <c r="J17" s="15"/>
      <c r="K17" s="11" t="s">
        <v>1366</v>
      </c>
    </row>
    <row r="18" customFormat="false" ht="15" hidden="false" customHeight="false" outlineLevel="0" collapsed="false">
      <c r="A18" s="9" t="n">
        <v>17</v>
      </c>
      <c r="B18" s="8" t="s">
        <v>1362</v>
      </c>
      <c r="C18" s="9" t="s">
        <v>1407</v>
      </c>
      <c r="D18" s="8" t="s">
        <v>1408</v>
      </c>
      <c r="E18" s="8" t="s">
        <v>1408</v>
      </c>
      <c r="F18" s="11" t="s">
        <v>1365</v>
      </c>
      <c r="G18" s="17"/>
      <c r="H18" s="18"/>
      <c r="I18" s="15"/>
      <c r="J18" s="15"/>
      <c r="K18" s="11" t="s">
        <v>1366</v>
      </c>
    </row>
    <row r="19" customFormat="false" ht="15" hidden="false" customHeight="false" outlineLevel="0" collapsed="false">
      <c r="A19" s="9" t="n">
        <v>18</v>
      </c>
      <c r="B19" s="8" t="s">
        <v>1362</v>
      </c>
      <c r="C19" s="9" t="s">
        <v>1409</v>
      </c>
      <c r="D19" s="8" t="s">
        <v>1410</v>
      </c>
      <c r="E19" s="8" t="s">
        <v>1411</v>
      </c>
      <c r="F19" s="11" t="s">
        <v>1365</v>
      </c>
      <c r="G19" s="17"/>
      <c r="H19" s="18"/>
      <c r="I19" s="15"/>
      <c r="J19" s="15"/>
      <c r="K19" s="11" t="s">
        <v>1366</v>
      </c>
    </row>
    <row r="20" customFormat="false" ht="15" hidden="false" customHeight="false" outlineLevel="0" collapsed="false">
      <c r="A20" s="9" t="n">
        <v>19</v>
      </c>
      <c r="B20" s="8" t="s">
        <v>1362</v>
      </c>
      <c r="C20" s="9" t="s">
        <v>1412</v>
      </c>
      <c r="D20" s="8" t="s">
        <v>1413</v>
      </c>
      <c r="E20" s="8" t="s">
        <v>1413</v>
      </c>
      <c r="F20" s="11" t="s">
        <v>1365</v>
      </c>
      <c r="G20" s="17"/>
      <c r="H20" s="18"/>
      <c r="I20" s="15"/>
      <c r="J20" s="15"/>
      <c r="K20" s="11" t="s">
        <v>1366</v>
      </c>
    </row>
    <row r="21" customFormat="false" ht="15" hidden="false" customHeight="false" outlineLevel="0" collapsed="false">
      <c r="A21" s="9" t="n">
        <v>20</v>
      </c>
      <c r="B21" s="8" t="s">
        <v>1362</v>
      </c>
      <c r="C21" s="9" t="s">
        <v>1414</v>
      </c>
      <c r="D21" s="11" t="s">
        <v>1415</v>
      </c>
      <c r="E21" s="11" t="s">
        <v>1415</v>
      </c>
      <c r="F21" s="11" t="s">
        <v>1365</v>
      </c>
      <c r="G21" s="17"/>
      <c r="H21" s="18"/>
      <c r="I21" s="15"/>
      <c r="J21" s="15"/>
      <c r="K21" s="11" t="s">
        <v>1366</v>
      </c>
    </row>
    <row r="22" customFormat="false" ht="15" hidden="false" customHeight="false" outlineLevel="0" collapsed="false">
      <c r="A22" s="9" t="n">
        <v>21</v>
      </c>
      <c r="B22" s="8" t="s">
        <v>1362</v>
      </c>
      <c r="C22" s="9" t="s">
        <v>1416</v>
      </c>
      <c r="D22" s="8" t="s">
        <v>1417</v>
      </c>
      <c r="E22" s="8" t="s">
        <v>1418</v>
      </c>
      <c r="F22" s="11" t="s">
        <v>1365</v>
      </c>
      <c r="G22" s="17"/>
      <c r="H22" s="18"/>
      <c r="I22" s="15"/>
      <c r="J22" s="15"/>
      <c r="K22" s="11" t="s">
        <v>1366</v>
      </c>
    </row>
    <row r="23" customFormat="false" ht="15" hidden="false" customHeight="false" outlineLevel="0" collapsed="false">
      <c r="A23" s="9" t="n">
        <v>22</v>
      </c>
      <c r="B23" s="8" t="s">
        <v>1362</v>
      </c>
      <c r="C23" s="9" t="s">
        <v>1419</v>
      </c>
      <c r="D23" s="11" t="s">
        <v>1420</v>
      </c>
      <c r="E23" s="8" t="s">
        <v>1421</v>
      </c>
      <c r="F23" s="11" t="s">
        <v>1365</v>
      </c>
      <c r="G23" s="17"/>
      <c r="H23" s="18"/>
      <c r="I23" s="15"/>
      <c r="J23" s="15"/>
      <c r="K23" s="11" t="s">
        <v>1366</v>
      </c>
    </row>
    <row r="24" customFormat="false" ht="15" hidden="false" customHeight="false" outlineLevel="0" collapsed="false">
      <c r="A24" s="9" t="n">
        <v>23</v>
      </c>
      <c r="B24" s="8" t="s">
        <v>1362</v>
      </c>
      <c r="C24" s="9" t="s">
        <v>1422</v>
      </c>
      <c r="D24" s="11" t="s">
        <v>1423</v>
      </c>
      <c r="E24" s="11" t="s">
        <v>1424</v>
      </c>
      <c r="F24" s="11" t="s">
        <v>1365</v>
      </c>
      <c r="G24" s="17"/>
      <c r="H24" s="18"/>
      <c r="I24" s="15"/>
      <c r="J24" s="15"/>
      <c r="K24" s="11" t="s">
        <v>1366</v>
      </c>
    </row>
    <row r="25" customFormat="false" ht="15" hidden="false" customHeight="false" outlineLevel="0" collapsed="false">
      <c r="A25" s="9" t="n">
        <v>24</v>
      </c>
      <c r="B25" s="8" t="s">
        <v>1362</v>
      </c>
      <c r="C25" s="9" t="s">
        <v>1425</v>
      </c>
      <c r="D25" s="11" t="s">
        <v>1426</v>
      </c>
      <c r="E25" s="11" t="s">
        <v>1427</v>
      </c>
      <c r="F25" s="11" t="s">
        <v>1365</v>
      </c>
      <c r="G25" s="17"/>
      <c r="H25" s="18"/>
      <c r="I25" s="15"/>
      <c r="J25" s="15"/>
      <c r="K25" s="11" t="s">
        <v>1366</v>
      </c>
    </row>
    <row r="26" customFormat="false" ht="15" hidden="false" customHeight="false" outlineLevel="0" collapsed="false">
      <c r="A26" s="9" t="n">
        <v>25</v>
      </c>
      <c r="B26" s="8" t="s">
        <v>1362</v>
      </c>
      <c r="C26" s="9" t="s">
        <v>1428</v>
      </c>
      <c r="D26" s="11" t="s">
        <v>1429</v>
      </c>
      <c r="E26" s="11" t="s">
        <v>1430</v>
      </c>
      <c r="F26" s="11" t="s">
        <v>1365</v>
      </c>
      <c r="G26" s="17"/>
      <c r="H26" s="18"/>
      <c r="I26" s="15"/>
      <c r="J26" s="15"/>
      <c r="K26" s="11" t="s">
        <v>1366</v>
      </c>
    </row>
    <row r="27" customFormat="false" ht="15" hidden="false" customHeight="false" outlineLevel="0" collapsed="false">
      <c r="A27" s="9" t="n">
        <v>26</v>
      </c>
      <c r="B27" s="8" t="s">
        <v>1362</v>
      </c>
      <c r="C27" s="9" t="s">
        <v>1431</v>
      </c>
      <c r="D27" s="11" t="s">
        <v>1432</v>
      </c>
      <c r="E27" s="11" t="s">
        <v>1433</v>
      </c>
      <c r="F27" s="11" t="s">
        <v>1365</v>
      </c>
      <c r="G27" s="17"/>
      <c r="H27" s="18"/>
      <c r="I27" s="15"/>
      <c r="J27" s="15"/>
      <c r="K27" s="11" t="s">
        <v>1366</v>
      </c>
    </row>
    <row r="28" customFormat="false" ht="15" hidden="false" customHeight="false" outlineLevel="0" collapsed="false">
      <c r="A28" s="9" t="n">
        <v>27</v>
      </c>
      <c r="B28" s="8" t="s">
        <v>1362</v>
      </c>
      <c r="C28" s="9" t="s">
        <v>1434</v>
      </c>
      <c r="D28" s="11" t="s">
        <v>1435</v>
      </c>
      <c r="E28" s="11" t="s">
        <v>1436</v>
      </c>
      <c r="F28" s="11" t="s">
        <v>1365</v>
      </c>
      <c r="G28" s="17"/>
      <c r="H28" s="18"/>
      <c r="I28" s="15"/>
      <c r="J28" s="15"/>
      <c r="K28" s="11" t="s">
        <v>1366</v>
      </c>
    </row>
    <row r="29" customFormat="false" ht="15" hidden="false" customHeight="false" outlineLevel="0" collapsed="false">
      <c r="A29" s="9" t="n">
        <v>28</v>
      </c>
      <c r="B29" s="8" t="s">
        <v>1362</v>
      </c>
      <c r="C29" s="9" t="s">
        <v>1437</v>
      </c>
      <c r="D29" s="11" t="s">
        <v>1438</v>
      </c>
      <c r="E29" s="11" t="s">
        <v>1439</v>
      </c>
      <c r="F29" s="11" t="s">
        <v>1365</v>
      </c>
      <c r="G29" s="17"/>
      <c r="H29" s="18"/>
      <c r="I29" s="15"/>
      <c r="J29" s="15"/>
      <c r="K29" s="11" t="s">
        <v>1366</v>
      </c>
    </row>
    <row r="30" customFormat="false" ht="15" hidden="false" customHeight="false" outlineLevel="0" collapsed="false">
      <c r="A30" s="9" t="n">
        <v>29</v>
      </c>
      <c r="B30" s="8" t="s">
        <v>1362</v>
      </c>
      <c r="C30" s="9" t="s">
        <v>1440</v>
      </c>
      <c r="D30" s="11" t="s">
        <v>1441</v>
      </c>
      <c r="E30" s="11" t="s">
        <v>1442</v>
      </c>
      <c r="F30" s="11" t="s">
        <v>1365</v>
      </c>
      <c r="G30" s="17"/>
      <c r="H30" s="18"/>
      <c r="I30" s="15"/>
      <c r="J30" s="15"/>
      <c r="K30" s="11" t="s">
        <v>1366</v>
      </c>
    </row>
    <row r="31" customFormat="false" ht="15" hidden="false" customHeight="false" outlineLevel="0" collapsed="false">
      <c r="A31" s="9" t="n">
        <v>30</v>
      </c>
      <c r="B31" s="8" t="s">
        <v>1362</v>
      </c>
      <c r="C31" s="9" t="s">
        <v>1443</v>
      </c>
      <c r="D31" s="11" t="s">
        <v>1444</v>
      </c>
      <c r="E31" s="11" t="s">
        <v>1444</v>
      </c>
      <c r="F31" s="11" t="s">
        <v>1365</v>
      </c>
      <c r="G31" s="17"/>
      <c r="H31" s="18"/>
      <c r="I31" s="15"/>
      <c r="J31" s="15"/>
      <c r="K31" s="11" t="s">
        <v>1366</v>
      </c>
    </row>
    <row r="32" customFormat="false" ht="15" hidden="false" customHeight="false" outlineLevel="0" collapsed="false">
      <c r="A32" s="9" t="n">
        <v>31</v>
      </c>
      <c r="B32" s="8" t="s">
        <v>1362</v>
      </c>
      <c r="C32" s="9" t="s">
        <v>1445</v>
      </c>
      <c r="D32" s="11" t="s">
        <v>1446</v>
      </c>
      <c r="E32" s="11" t="s">
        <v>1447</v>
      </c>
      <c r="F32" s="11" t="s">
        <v>1365</v>
      </c>
      <c r="G32" s="17"/>
      <c r="H32" s="18"/>
      <c r="I32" s="15"/>
      <c r="J32" s="15"/>
      <c r="K32" s="11" t="s">
        <v>1366</v>
      </c>
    </row>
    <row r="33" customFormat="false" ht="15" hidden="false" customHeight="false" outlineLevel="0" collapsed="false">
      <c r="A33" s="9" t="n">
        <v>32</v>
      </c>
      <c r="B33" s="8" t="s">
        <v>1362</v>
      </c>
      <c r="C33" s="9" t="s">
        <v>1448</v>
      </c>
      <c r="D33" s="11" t="s">
        <v>1449</v>
      </c>
      <c r="E33" s="11" t="s">
        <v>1450</v>
      </c>
      <c r="F33" s="11" t="s">
        <v>1365</v>
      </c>
      <c r="G33" s="17"/>
      <c r="H33" s="18"/>
      <c r="I33" s="15"/>
      <c r="J33" s="15"/>
      <c r="K33" s="11" t="s">
        <v>1366</v>
      </c>
    </row>
    <row r="34" customFormat="false" ht="15" hidden="false" customHeight="false" outlineLevel="0" collapsed="false">
      <c r="A34" s="9" t="n">
        <v>33</v>
      </c>
      <c r="B34" s="8" t="s">
        <v>1362</v>
      </c>
      <c r="C34" s="9" t="s">
        <v>1451</v>
      </c>
      <c r="D34" s="11" t="s">
        <v>1452</v>
      </c>
      <c r="E34" s="11" t="s">
        <v>1453</v>
      </c>
      <c r="F34" s="11" t="s">
        <v>1365</v>
      </c>
      <c r="G34" s="17"/>
      <c r="H34" s="18"/>
      <c r="I34" s="15"/>
      <c r="J34" s="15"/>
      <c r="K34" s="11" t="s">
        <v>1366</v>
      </c>
    </row>
    <row r="35" customFormat="false" ht="15" hidden="false" customHeight="false" outlineLevel="0" collapsed="false">
      <c r="A35" s="9" t="n">
        <v>34</v>
      </c>
      <c r="B35" s="8" t="s">
        <v>1362</v>
      </c>
      <c r="C35" s="9" t="s">
        <v>1454</v>
      </c>
      <c r="D35" s="8" t="s">
        <v>1455</v>
      </c>
      <c r="E35" s="8" t="s">
        <v>1455</v>
      </c>
      <c r="F35" s="11" t="s">
        <v>1365</v>
      </c>
      <c r="G35" s="17"/>
      <c r="H35" s="18"/>
      <c r="I35" s="15"/>
      <c r="J35" s="15"/>
      <c r="K35" s="11" t="s">
        <v>1366</v>
      </c>
    </row>
    <row r="36" customFormat="false" ht="15" hidden="false" customHeight="false" outlineLevel="0" collapsed="false">
      <c r="A36" s="9" t="n">
        <v>35</v>
      </c>
      <c r="B36" s="8" t="s">
        <v>1362</v>
      </c>
      <c r="C36" s="9" t="s">
        <v>1456</v>
      </c>
      <c r="D36" s="11" t="s">
        <v>1457</v>
      </c>
      <c r="E36" s="11" t="s">
        <v>1457</v>
      </c>
      <c r="F36" s="11" t="s">
        <v>1365</v>
      </c>
      <c r="G36" s="17"/>
      <c r="H36" s="18"/>
      <c r="I36" s="15"/>
      <c r="J36" s="15"/>
      <c r="K36" s="11" t="s">
        <v>1366</v>
      </c>
    </row>
    <row r="37" customFormat="false" ht="15" hidden="false" customHeight="false" outlineLevel="0" collapsed="false">
      <c r="A37" s="9" t="n">
        <v>36</v>
      </c>
      <c r="B37" s="8" t="s">
        <v>1362</v>
      </c>
      <c r="C37" s="9" t="s">
        <v>1458</v>
      </c>
      <c r="D37" s="11" t="s">
        <v>1459</v>
      </c>
      <c r="E37" s="11" t="s">
        <v>1460</v>
      </c>
      <c r="F37" s="11" t="s">
        <v>1365</v>
      </c>
      <c r="G37" s="17"/>
      <c r="H37" s="18"/>
      <c r="I37" s="15"/>
      <c r="J37" s="15"/>
      <c r="K37" s="11" t="s">
        <v>1366</v>
      </c>
    </row>
    <row r="38" customFormat="false" ht="15" hidden="false" customHeight="false" outlineLevel="0" collapsed="false">
      <c r="A38" s="9" t="n">
        <v>37</v>
      </c>
      <c r="B38" s="8" t="s">
        <v>1362</v>
      </c>
      <c r="C38" s="9" t="s">
        <v>1461</v>
      </c>
      <c r="D38" s="8" t="s">
        <v>1462</v>
      </c>
      <c r="E38" s="8" t="s">
        <v>1463</v>
      </c>
      <c r="F38" s="11" t="s">
        <v>1365</v>
      </c>
      <c r="G38" s="17"/>
      <c r="H38" s="18"/>
      <c r="I38" s="15"/>
      <c r="J38" s="15"/>
      <c r="K38" s="11" t="s">
        <v>1366</v>
      </c>
    </row>
    <row r="39" customFormat="false" ht="15" hidden="false" customHeight="false" outlineLevel="0" collapsed="false">
      <c r="A39" s="9" t="n">
        <v>38</v>
      </c>
      <c r="B39" s="8" t="s">
        <v>1362</v>
      </c>
      <c r="C39" s="9" t="s">
        <v>1464</v>
      </c>
      <c r="D39" s="8" t="s">
        <v>1465</v>
      </c>
      <c r="E39" s="8" t="s">
        <v>1466</v>
      </c>
      <c r="F39" s="11" t="s">
        <v>1365</v>
      </c>
      <c r="G39" s="17"/>
      <c r="H39" s="18"/>
      <c r="I39" s="15"/>
      <c r="J39" s="15"/>
      <c r="K39" s="11" t="s">
        <v>1366</v>
      </c>
    </row>
    <row r="40" customFormat="false" ht="15" hidden="false" customHeight="false" outlineLevel="0" collapsed="false">
      <c r="A40" s="9" t="n">
        <v>39</v>
      </c>
      <c r="B40" s="8" t="s">
        <v>1362</v>
      </c>
      <c r="C40" s="9" t="s">
        <v>1467</v>
      </c>
      <c r="D40" s="8" t="s">
        <v>1468</v>
      </c>
      <c r="E40" s="8" t="s">
        <v>1469</v>
      </c>
      <c r="F40" s="11" t="s">
        <v>1365</v>
      </c>
      <c r="G40" s="17"/>
      <c r="H40" s="18"/>
      <c r="I40" s="15"/>
      <c r="J40" s="15"/>
      <c r="K40" s="11" t="s">
        <v>1366</v>
      </c>
    </row>
    <row r="41" customFormat="false" ht="15" hidden="false" customHeight="false" outlineLevel="0" collapsed="false">
      <c r="A41" s="9" t="n">
        <v>40</v>
      </c>
      <c r="B41" s="8" t="s">
        <v>1362</v>
      </c>
      <c r="C41" s="9" t="s">
        <v>1470</v>
      </c>
      <c r="D41" s="8" t="s">
        <v>1471</v>
      </c>
      <c r="E41" s="8" t="s">
        <v>1472</v>
      </c>
      <c r="F41" s="11" t="s">
        <v>1365</v>
      </c>
      <c r="G41" s="17"/>
      <c r="H41" s="18"/>
      <c r="I41" s="15"/>
      <c r="J41" s="15"/>
      <c r="K41" s="11" t="s">
        <v>1366</v>
      </c>
    </row>
    <row r="42" customFormat="false" ht="15" hidden="false" customHeight="false" outlineLevel="0" collapsed="false">
      <c r="A42" s="9" t="n">
        <v>41</v>
      </c>
      <c r="B42" s="8" t="s">
        <v>1362</v>
      </c>
      <c r="C42" s="9" t="s">
        <v>1473</v>
      </c>
      <c r="D42" s="11" t="s">
        <v>1474</v>
      </c>
      <c r="E42" s="11" t="s">
        <v>1475</v>
      </c>
      <c r="F42" s="11" t="s">
        <v>1365</v>
      </c>
      <c r="G42" s="17"/>
      <c r="H42" s="18"/>
      <c r="I42" s="15"/>
      <c r="J42" s="15"/>
      <c r="K42" s="11" t="s">
        <v>1366</v>
      </c>
    </row>
    <row r="43" customFormat="false" ht="15" hidden="false" customHeight="false" outlineLevel="0" collapsed="false">
      <c r="A43" s="9" t="n">
        <v>42</v>
      </c>
      <c r="B43" s="8" t="s">
        <v>1362</v>
      </c>
      <c r="C43" s="9" t="s">
        <v>1476</v>
      </c>
      <c r="D43" s="11" t="s">
        <v>1477</v>
      </c>
      <c r="E43" s="11" t="s">
        <v>1478</v>
      </c>
      <c r="F43" s="11" t="s">
        <v>1365</v>
      </c>
      <c r="G43" s="17"/>
      <c r="H43" s="18"/>
      <c r="I43" s="15"/>
      <c r="J43" s="15"/>
      <c r="K43" s="11" t="s">
        <v>1366</v>
      </c>
    </row>
    <row r="44" customFormat="false" ht="15" hidden="false" customHeight="false" outlineLevel="0" collapsed="false">
      <c r="A44" s="9" t="n">
        <v>43</v>
      </c>
      <c r="B44" s="8" t="s">
        <v>1362</v>
      </c>
      <c r="C44" s="9" t="s">
        <v>1479</v>
      </c>
      <c r="D44" s="11" t="s">
        <v>1480</v>
      </c>
      <c r="E44" s="11" t="s">
        <v>1481</v>
      </c>
      <c r="F44" s="11" t="s">
        <v>1365</v>
      </c>
      <c r="G44" s="17"/>
      <c r="H44" s="18"/>
      <c r="I44" s="15"/>
      <c r="J44" s="15"/>
      <c r="K44" s="11" t="s">
        <v>1366</v>
      </c>
    </row>
  </sheetData>
  <autoFilter ref="A1:K44"/>
  <dataValidations count="1">
    <dataValidation allowBlank="true" error="请选择：通过 / 失败 / 阻塞 / 不适用（留空 = 未测）" errorStyle="stop" errorTitle="测试结果" operator="between" showDropDown="false" showErrorMessage="false" showInputMessage="false" sqref="G2:G44" type="list">
      <formula1>"通过,失败,阻塞,不适用"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7" t="s">
        <v>62</v>
      </c>
      <c r="B1" s="7" t="s">
        <v>20</v>
      </c>
      <c r="C1" s="7" t="s">
        <v>21</v>
      </c>
      <c r="D1" s="7" t="s">
        <v>22</v>
      </c>
      <c r="E1" s="7" t="s">
        <v>63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64</v>
      </c>
    </row>
    <row r="2" customFormat="false" ht="15" hidden="false" customHeight="false" outlineLevel="0" collapsed="false">
      <c r="A2" s="9" t="n">
        <v>1</v>
      </c>
      <c r="B2" s="11" t="s">
        <v>1482</v>
      </c>
      <c r="C2" s="9" t="s">
        <v>1483</v>
      </c>
      <c r="D2" s="11" t="s">
        <v>1484</v>
      </c>
      <c r="E2" s="11" t="s">
        <v>1485</v>
      </c>
      <c r="F2" s="11" t="s">
        <v>1486</v>
      </c>
      <c r="G2" s="17"/>
      <c r="H2" s="18"/>
      <c r="I2" s="15"/>
      <c r="J2" s="15"/>
      <c r="K2" s="11" t="s">
        <v>402</v>
      </c>
    </row>
    <row r="3" customFormat="false" ht="15" hidden="false" customHeight="false" outlineLevel="0" collapsed="false">
      <c r="A3" s="9" t="n">
        <v>2</v>
      </c>
      <c r="B3" s="11" t="s">
        <v>1482</v>
      </c>
      <c r="C3" s="9" t="s">
        <v>1487</v>
      </c>
      <c r="D3" s="8" t="s">
        <v>1488</v>
      </c>
      <c r="E3" s="8" t="s">
        <v>1488</v>
      </c>
      <c r="F3" s="11" t="s">
        <v>1486</v>
      </c>
      <c r="G3" s="17"/>
      <c r="H3" s="18"/>
      <c r="I3" s="15"/>
      <c r="J3" s="15"/>
      <c r="K3" s="11" t="s">
        <v>402</v>
      </c>
    </row>
    <row r="4" customFormat="false" ht="15" hidden="false" customHeight="false" outlineLevel="0" collapsed="false">
      <c r="A4" s="9" t="n">
        <v>3</v>
      </c>
      <c r="B4" s="11" t="s">
        <v>1482</v>
      </c>
      <c r="C4" s="9" t="s">
        <v>1489</v>
      </c>
      <c r="D4" s="8" t="s">
        <v>1490</v>
      </c>
      <c r="E4" s="8" t="s">
        <v>1490</v>
      </c>
      <c r="F4" s="11" t="s">
        <v>1486</v>
      </c>
      <c r="G4" s="17"/>
      <c r="H4" s="18"/>
      <c r="I4" s="15"/>
      <c r="J4" s="15"/>
      <c r="K4" s="11" t="s">
        <v>402</v>
      </c>
    </row>
    <row r="5" customFormat="false" ht="15" hidden="false" customHeight="false" outlineLevel="0" collapsed="false">
      <c r="A5" s="9" t="n">
        <v>4</v>
      </c>
      <c r="B5" s="11" t="s">
        <v>1482</v>
      </c>
      <c r="C5" s="9" t="s">
        <v>1491</v>
      </c>
      <c r="D5" s="8" t="s">
        <v>1492</v>
      </c>
      <c r="E5" s="8" t="s">
        <v>1492</v>
      </c>
      <c r="F5" s="11" t="s">
        <v>1486</v>
      </c>
      <c r="G5" s="17"/>
      <c r="H5" s="18"/>
      <c r="I5" s="15"/>
      <c r="J5" s="15"/>
      <c r="K5" s="11" t="s">
        <v>402</v>
      </c>
    </row>
    <row r="6" customFormat="false" ht="15" hidden="false" customHeight="false" outlineLevel="0" collapsed="false">
      <c r="A6" s="9" t="n">
        <v>5</v>
      </c>
      <c r="B6" s="11" t="s">
        <v>1482</v>
      </c>
      <c r="C6" s="9" t="s">
        <v>1493</v>
      </c>
      <c r="D6" s="8" t="s">
        <v>1494</v>
      </c>
      <c r="E6" s="8" t="s">
        <v>1494</v>
      </c>
      <c r="F6" s="11" t="s">
        <v>1486</v>
      </c>
      <c r="G6" s="17"/>
      <c r="H6" s="18"/>
      <c r="I6" s="15"/>
      <c r="J6" s="15"/>
      <c r="K6" s="11" t="s">
        <v>402</v>
      </c>
    </row>
    <row r="7" customFormat="false" ht="15" hidden="false" customHeight="false" outlineLevel="0" collapsed="false">
      <c r="A7" s="9" t="n">
        <v>6</v>
      </c>
      <c r="B7" s="11" t="s">
        <v>1482</v>
      </c>
      <c r="C7" s="9" t="s">
        <v>1495</v>
      </c>
      <c r="D7" s="11" t="s">
        <v>1496</v>
      </c>
      <c r="E7" s="11" t="s">
        <v>1496</v>
      </c>
      <c r="F7" s="11" t="s">
        <v>1486</v>
      </c>
      <c r="G7" s="17"/>
      <c r="H7" s="18"/>
      <c r="I7" s="15"/>
      <c r="J7" s="15"/>
      <c r="K7" s="11" t="s">
        <v>402</v>
      </c>
    </row>
    <row r="8" customFormat="false" ht="15" hidden="false" customHeight="false" outlineLevel="0" collapsed="false">
      <c r="A8" s="9" t="n">
        <v>7</v>
      </c>
      <c r="B8" s="11" t="s">
        <v>1482</v>
      </c>
      <c r="C8" s="9" t="s">
        <v>1497</v>
      </c>
      <c r="D8" s="11" t="s">
        <v>1498</v>
      </c>
      <c r="E8" s="11" t="s">
        <v>1498</v>
      </c>
      <c r="F8" s="11" t="s">
        <v>1486</v>
      </c>
      <c r="G8" s="17"/>
      <c r="H8" s="18"/>
      <c r="I8" s="15"/>
      <c r="J8" s="15"/>
      <c r="K8" s="11" t="s">
        <v>402</v>
      </c>
    </row>
    <row r="9" customFormat="false" ht="15" hidden="false" customHeight="false" outlineLevel="0" collapsed="false">
      <c r="A9" s="9" t="n">
        <v>8</v>
      </c>
      <c r="B9" s="11" t="s">
        <v>1482</v>
      </c>
      <c r="C9" s="9" t="s">
        <v>1499</v>
      </c>
      <c r="D9" s="11" t="s">
        <v>1500</v>
      </c>
      <c r="E9" s="11" t="s">
        <v>1500</v>
      </c>
      <c r="F9" s="11" t="s">
        <v>1486</v>
      </c>
      <c r="G9" s="17"/>
      <c r="H9" s="18"/>
      <c r="I9" s="15"/>
      <c r="J9" s="15"/>
      <c r="K9" s="11" t="s">
        <v>402</v>
      </c>
    </row>
    <row r="10" customFormat="false" ht="15" hidden="false" customHeight="false" outlineLevel="0" collapsed="false">
      <c r="A10" s="9" t="n">
        <v>9</v>
      </c>
      <c r="B10" s="11" t="s">
        <v>1501</v>
      </c>
      <c r="C10" s="9" t="s">
        <v>1502</v>
      </c>
      <c r="D10" s="8" t="s">
        <v>1503</v>
      </c>
      <c r="E10" s="8" t="s">
        <v>1503</v>
      </c>
      <c r="F10" s="11" t="s">
        <v>1486</v>
      </c>
      <c r="G10" s="17"/>
      <c r="H10" s="18"/>
      <c r="I10" s="15"/>
      <c r="J10" s="15"/>
      <c r="K10" s="11" t="s">
        <v>402</v>
      </c>
    </row>
    <row r="11" customFormat="false" ht="15" hidden="false" customHeight="false" outlineLevel="0" collapsed="false">
      <c r="A11" s="9" t="n">
        <v>10</v>
      </c>
      <c r="B11" s="11" t="s">
        <v>1501</v>
      </c>
      <c r="C11" s="9" t="s">
        <v>1504</v>
      </c>
      <c r="D11" s="11" t="s">
        <v>1505</v>
      </c>
      <c r="E11" s="11" t="s">
        <v>1505</v>
      </c>
      <c r="F11" s="11" t="s">
        <v>1486</v>
      </c>
      <c r="G11" s="17"/>
      <c r="H11" s="18"/>
      <c r="I11" s="15"/>
      <c r="J11" s="15"/>
      <c r="K11" s="11" t="s">
        <v>402</v>
      </c>
    </row>
    <row r="12" customFormat="false" ht="15" hidden="false" customHeight="false" outlineLevel="0" collapsed="false">
      <c r="A12" s="9" t="n">
        <v>11</v>
      </c>
      <c r="B12" s="11" t="s">
        <v>1501</v>
      </c>
      <c r="C12" s="9" t="s">
        <v>1506</v>
      </c>
      <c r="D12" s="8" t="s">
        <v>1507</v>
      </c>
      <c r="E12" s="8" t="s">
        <v>1508</v>
      </c>
      <c r="F12" s="11" t="s">
        <v>1486</v>
      </c>
      <c r="G12" s="17"/>
      <c r="H12" s="18"/>
      <c r="I12" s="15"/>
      <c r="J12" s="15"/>
      <c r="K12" s="11" t="s">
        <v>402</v>
      </c>
    </row>
    <row r="13" customFormat="false" ht="15" hidden="false" customHeight="false" outlineLevel="0" collapsed="false">
      <c r="A13" s="9" t="n">
        <v>12</v>
      </c>
      <c r="B13" s="11" t="s">
        <v>1501</v>
      </c>
      <c r="C13" s="9" t="s">
        <v>1509</v>
      </c>
      <c r="D13" s="11" t="s">
        <v>1510</v>
      </c>
      <c r="E13" s="11" t="s">
        <v>1510</v>
      </c>
      <c r="F13" s="11" t="s">
        <v>1486</v>
      </c>
      <c r="G13" s="17"/>
      <c r="H13" s="18"/>
      <c r="I13" s="15"/>
      <c r="J13" s="15"/>
      <c r="K13" s="11" t="s">
        <v>402</v>
      </c>
    </row>
    <row r="14" customFormat="false" ht="15" hidden="false" customHeight="false" outlineLevel="0" collapsed="false">
      <c r="A14" s="9" t="n">
        <v>13</v>
      </c>
      <c r="B14" s="11" t="s">
        <v>1501</v>
      </c>
      <c r="C14" s="9" t="s">
        <v>1511</v>
      </c>
      <c r="D14" s="8" t="s">
        <v>1512</v>
      </c>
      <c r="E14" s="8" t="s">
        <v>1512</v>
      </c>
      <c r="F14" s="11" t="s">
        <v>1486</v>
      </c>
      <c r="G14" s="17"/>
      <c r="H14" s="18"/>
      <c r="I14" s="15"/>
      <c r="J14" s="15"/>
      <c r="K14" s="11" t="s">
        <v>402</v>
      </c>
    </row>
    <row r="15" customFormat="false" ht="15" hidden="false" customHeight="false" outlineLevel="0" collapsed="false">
      <c r="A15" s="9" t="n">
        <v>14</v>
      </c>
      <c r="B15" s="11" t="s">
        <v>1501</v>
      </c>
      <c r="C15" s="9" t="s">
        <v>1513</v>
      </c>
      <c r="D15" s="11" t="s">
        <v>1514</v>
      </c>
      <c r="E15" s="11" t="s">
        <v>1514</v>
      </c>
      <c r="F15" s="11" t="s">
        <v>1486</v>
      </c>
      <c r="G15" s="17"/>
      <c r="H15" s="18"/>
      <c r="I15" s="15"/>
      <c r="J15" s="15"/>
      <c r="K15" s="11" t="s">
        <v>402</v>
      </c>
    </row>
    <row r="16" customFormat="false" ht="15" hidden="false" customHeight="false" outlineLevel="0" collapsed="false">
      <c r="A16" s="9" t="n">
        <v>15</v>
      </c>
      <c r="B16" s="11" t="s">
        <v>1501</v>
      </c>
      <c r="C16" s="9" t="s">
        <v>1515</v>
      </c>
      <c r="D16" s="11" t="s">
        <v>1516</v>
      </c>
      <c r="E16" s="11" t="s">
        <v>1517</v>
      </c>
      <c r="F16" s="11" t="s">
        <v>1486</v>
      </c>
      <c r="G16" s="17"/>
      <c r="H16" s="18"/>
      <c r="I16" s="15"/>
      <c r="J16" s="15"/>
      <c r="K16" s="11" t="s">
        <v>402</v>
      </c>
    </row>
    <row r="17" customFormat="false" ht="15" hidden="false" customHeight="false" outlineLevel="0" collapsed="false">
      <c r="A17" s="9" t="n">
        <v>16</v>
      </c>
      <c r="B17" s="11" t="s">
        <v>1518</v>
      </c>
      <c r="C17" s="9" t="s">
        <v>1519</v>
      </c>
      <c r="D17" s="11" t="s">
        <v>1520</v>
      </c>
      <c r="E17" s="11" t="s">
        <v>1521</v>
      </c>
      <c r="F17" s="11" t="s">
        <v>1486</v>
      </c>
      <c r="G17" s="17"/>
      <c r="H17" s="18"/>
      <c r="I17" s="15"/>
      <c r="J17" s="15"/>
      <c r="K17" s="11" t="s">
        <v>402</v>
      </c>
    </row>
    <row r="18" customFormat="false" ht="15" hidden="false" customHeight="false" outlineLevel="0" collapsed="false">
      <c r="A18" s="9" t="n">
        <v>17</v>
      </c>
      <c r="B18" s="11" t="s">
        <v>1518</v>
      </c>
      <c r="C18" s="9" t="s">
        <v>1522</v>
      </c>
      <c r="D18" s="11" t="s">
        <v>1523</v>
      </c>
      <c r="E18" s="11" t="s">
        <v>1524</v>
      </c>
      <c r="F18" s="11" t="s">
        <v>1486</v>
      </c>
      <c r="G18" s="17"/>
      <c r="H18" s="18"/>
      <c r="I18" s="15"/>
      <c r="J18" s="15"/>
      <c r="K18" s="11" t="s">
        <v>402</v>
      </c>
    </row>
    <row r="19" customFormat="false" ht="15" hidden="false" customHeight="false" outlineLevel="0" collapsed="false">
      <c r="A19" s="9" t="n">
        <v>18</v>
      </c>
      <c r="B19" s="11" t="s">
        <v>1525</v>
      </c>
      <c r="C19" s="9" t="s">
        <v>1526</v>
      </c>
      <c r="D19" s="11" t="s">
        <v>1527</v>
      </c>
      <c r="E19" s="11" t="s">
        <v>1527</v>
      </c>
      <c r="F19" s="11" t="s">
        <v>1486</v>
      </c>
      <c r="G19" s="17"/>
      <c r="H19" s="18"/>
      <c r="I19" s="15"/>
      <c r="J19" s="15"/>
      <c r="K19" s="11" t="s">
        <v>402</v>
      </c>
    </row>
    <row r="20" customFormat="false" ht="15" hidden="false" customHeight="false" outlineLevel="0" collapsed="false">
      <c r="A20" s="9" t="n">
        <v>19</v>
      </c>
      <c r="B20" s="11" t="s">
        <v>1525</v>
      </c>
      <c r="C20" s="9" t="s">
        <v>1528</v>
      </c>
      <c r="D20" s="8" t="s">
        <v>1529</v>
      </c>
      <c r="E20" s="8" t="s">
        <v>1529</v>
      </c>
      <c r="F20" s="11" t="s">
        <v>1486</v>
      </c>
      <c r="G20" s="17"/>
      <c r="H20" s="18"/>
      <c r="I20" s="15"/>
      <c r="J20" s="15"/>
      <c r="K20" s="11" t="s">
        <v>402</v>
      </c>
    </row>
    <row r="21" customFormat="false" ht="15" hidden="false" customHeight="false" outlineLevel="0" collapsed="false">
      <c r="A21" s="9" t="n">
        <v>20</v>
      </c>
      <c r="B21" s="11" t="s">
        <v>1525</v>
      </c>
      <c r="C21" s="9" t="s">
        <v>1530</v>
      </c>
      <c r="D21" s="11" t="s">
        <v>1531</v>
      </c>
      <c r="E21" s="11" t="s">
        <v>1532</v>
      </c>
      <c r="F21" s="11" t="s">
        <v>1486</v>
      </c>
      <c r="G21" s="17"/>
      <c r="H21" s="18"/>
      <c r="I21" s="15"/>
      <c r="J21" s="15"/>
      <c r="K21" s="11" t="s">
        <v>402</v>
      </c>
    </row>
    <row r="22" customFormat="false" ht="15" hidden="false" customHeight="false" outlineLevel="0" collapsed="false">
      <c r="A22" s="9" t="n">
        <v>21</v>
      </c>
      <c r="B22" s="11" t="s">
        <v>1525</v>
      </c>
      <c r="C22" s="9" t="s">
        <v>1533</v>
      </c>
      <c r="D22" s="11" t="s">
        <v>1534</v>
      </c>
      <c r="E22" s="11" t="s">
        <v>1535</v>
      </c>
      <c r="F22" s="11" t="s">
        <v>1486</v>
      </c>
      <c r="G22" s="17"/>
      <c r="H22" s="18"/>
      <c r="I22" s="15"/>
      <c r="J22" s="15"/>
      <c r="K22" s="11" t="s">
        <v>402</v>
      </c>
    </row>
    <row r="23" customFormat="false" ht="15" hidden="false" customHeight="false" outlineLevel="0" collapsed="false">
      <c r="A23" s="9" t="n">
        <v>22</v>
      </c>
      <c r="B23" s="11" t="s">
        <v>1525</v>
      </c>
      <c r="C23" s="9" t="s">
        <v>1536</v>
      </c>
      <c r="D23" s="11" t="s">
        <v>1537</v>
      </c>
      <c r="E23" s="11" t="s">
        <v>1538</v>
      </c>
      <c r="F23" s="11" t="s">
        <v>1486</v>
      </c>
      <c r="G23" s="17"/>
      <c r="H23" s="18"/>
      <c r="I23" s="15"/>
      <c r="J23" s="15"/>
      <c r="K23" s="11" t="s">
        <v>402</v>
      </c>
    </row>
  </sheetData>
  <autoFilter ref="A1:K23"/>
  <dataValidations count="1">
    <dataValidation allowBlank="true" error="请选择：通过 / 失败 / 阻塞 / 不适用（留空 = 未测）" errorStyle="stop" errorTitle="测试结果" operator="between" showDropDown="false" showErrorMessage="false" showInputMessage="false" sqref="G2:G23" type="list">
      <formula1>"通过,失败,阻塞,不适用"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2026-10-29T09:02:59Z</dcterms:created>
  <dc:creator>openpyxl</dc:creator>
  <dc:description/>
  <dc:language>en-US</dc:language>
  <cp:lastModifiedBy/>
  <dcterms:modified xsi:type="dcterms:W3CDTF">2026-10-29T09:03:00Z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